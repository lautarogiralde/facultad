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CÁTEDRA-UNLP - MATE D1\2025_2C\Ejercicios\"/>
    </mc:Choice>
  </mc:AlternateContent>
  <xr:revisionPtr revIDLastSave="0" documentId="13_ncr:1_{4754F573-D017-4932-9AE1-76501D2EA540}" xr6:coauthVersionLast="47" xr6:coauthVersionMax="47" xr10:uidLastSave="{00000000-0000-0000-0000-000000000000}"/>
  <bookViews>
    <workbookView xWindow="-110" yWindow="-110" windowWidth="25820" windowHeight="15620" activeTab="4" xr2:uid="{00000000-000D-0000-FFFF-FFFF00000000}"/>
  </bookViews>
  <sheets>
    <sheet name="Ajuste de curvas" sheetId="1" r:id="rId1"/>
    <sheet name="Integración numérica" sheetId="5" r:id="rId2"/>
    <sheet name="Derivación numérica" sheetId="6" r:id="rId3"/>
    <sheet name="Ecuaciones diferenciales" sheetId="7" r:id="rId4"/>
    <sheet name="Runge Kutta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8" l="1"/>
  <c r="C35" i="8"/>
  <c r="D35" i="8"/>
  <c r="E35" i="8" s="1"/>
  <c r="F35" i="8" s="1"/>
  <c r="H35" i="8"/>
  <c r="C36" i="8" s="1"/>
  <c r="B36" i="8"/>
  <c r="H36" i="8"/>
  <c r="B27" i="8"/>
  <c r="H27" i="8" s="1"/>
  <c r="C27" i="8"/>
  <c r="D27" i="8"/>
  <c r="E27" i="8" s="1"/>
  <c r="F27" i="8" s="1"/>
  <c r="B21" i="8"/>
  <c r="C21" i="8"/>
  <c r="D21" i="8" s="1"/>
  <c r="E21" i="8" s="1"/>
  <c r="F21" i="8" s="1"/>
  <c r="H21" i="8"/>
  <c r="C22" i="8" s="1"/>
  <c r="D22" i="8" s="1"/>
  <c r="E22" i="8" s="1"/>
  <c r="F22" i="8" s="1"/>
  <c r="B22" i="8"/>
  <c r="H22" i="8"/>
  <c r="D23" i="8" s="1"/>
  <c r="B23" i="8"/>
  <c r="H23" i="8" s="1"/>
  <c r="C23" i="8"/>
  <c r="K15" i="8"/>
  <c r="J15" i="8"/>
  <c r="I13" i="8"/>
  <c r="C13" i="8"/>
  <c r="H12" i="8"/>
  <c r="B13" i="8"/>
  <c r="B14" i="8" s="1"/>
  <c r="B7" i="8"/>
  <c r="B5" i="8"/>
  <c r="I35" i="7"/>
  <c r="I34" i="7"/>
  <c r="I36" i="7"/>
  <c r="I37" i="7" s="1"/>
  <c r="I38" i="7" s="1"/>
  <c r="I39" i="7" s="1"/>
  <c r="I40" i="7" s="1"/>
  <c r="I41" i="7" s="1"/>
  <c r="I42" i="7" s="1"/>
  <c r="I43" i="7" s="1"/>
  <c r="I10" i="7"/>
  <c r="I11" i="7" s="1"/>
  <c r="I12" i="7" s="1"/>
  <c r="I13" i="7" s="1"/>
  <c r="I14" i="7" s="1"/>
  <c r="I15" i="7" s="1"/>
  <c r="I16" i="7" s="1"/>
  <c r="I17" i="7" s="1"/>
  <c r="I18" i="7" s="1"/>
  <c r="I19" i="7" s="1"/>
  <c r="R10" i="6"/>
  <c r="D10" i="6"/>
  <c r="E10" i="6"/>
  <c r="F10" i="6"/>
  <c r="G10" i="6"/>
  <c r="H10" i="6"/>
  <c r="I10" i="6"/>
  <c r="J10" i="6"/>
  <c r="K10" i="6"/>
  <c r="K12" i="6" s="1"/>
  <c r="L10" i="6"/>
  <c r="L12" i="6" s="1"/>
  <c r="M10" i="6"/>
  <c r="M12" i="6" s="1"/>
  <c r="N10" i="6"/>
  <c r="N12" i="6" s="1"/>
  <c r="O10" i="6"/>
  <c r="O12" i="6" s="1"/>
  <c r="P10" i="6"/>
  <c r="P12" i="6" s="1"/>
  <c r="Q10" i="6"/>
  <c r="Q12" i="6" s="1"/>
  <c r="C10" i="6"/>
  <c r="B10" i="6"/>
  <c r="C9" i="6"/>
  <c r="D9" i="6"/>
  <c r="E9" i="6"/>
  <c r="F9" i="6"/>
  <c r="G9" i="6"/>
  <c r="H9" i="6"/>
  <c r="I9" i="6"/>
  <c r="H12" i="6" s="1"/>
  <c r="J9" i="6"/>
  <c r="K9" i="6"/>
  <c r="L9" i="6"/>
  <c r="M9" i="6"/>
  <c r="N9" i="6"/>
  <c r="O9" i="6"/>
  <c r="P9" i="6"/>
  <c r="Q9" i="6"/>
  <c r="R9" i="6"/>
  <c r="B9" i="6"/>
  <c r="D12" i="6"/>
  <c r="C11" i="6"/>
  <c r="F12" i="6"/>
  <c r="R12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B11" i="6"/>
  <c r="J4" i="6"/>
  <c r="G12" i="6"/>
  <c r="E12" i="6"/>
  <c r="C6" i="6"/>
  <c r="D6" i="6"/>
  <c r="E6" i="6"/>
  <c r="F6" i="6"/>
  <c r="G6" i="6"/>
  <c r="H6" i="6"/>
  <c r="I6" i="6"/>
  <c r="J6" i="6"/>
  <c r="B6" i="6"/>
  <c r="D4" i="6"/>
  <c r="E4" i="6"/>
  <c r="F4" i="6"/>
  <c r="G4" i="6"/>
  <c r="H4" i="6"/>
  <c r="I4" i="6"/>
  <c r="C4" i="6"/>
  <c r="B4" i="6"/>
  <c r="C5" i="6"/>
  <c r="D5" i="6"/>
  <c r="E5" i="6"/>
  <c r="F5" i="6"/>
  <c r="G5" i="6"/>
  <c r="H5" i="6"/>
  <c r="I5" i="6"/>
  <c r="J5" i="6"/>
  <c r="B5" i="6"/>
  <c r="M3" i="6"/>
  <c r="D4" i="5"/>
  <c r="E4" i="5" s="1"/>
  <c r="I54" i="1" a="1"/>
  <c r="I54" i="1" s="1"/>
  <c r="H51" i="1"/>
  <c r="K40" i="1"/>
  <c r="K36" i="1"/>
  <c r="A35" i="1"/>
  <c r="O3" i="1"/>
  <c r="X12" i="1" a="1"/>
  <c r="X12" i="1" s="1"/>
  <c r="Y12" i="1" a="1"/>
  <c r="Y12" i="1" s="1"/>
  <c r="AA5" i="1"/>
  <c r="AA4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M3" i="1"/>
  <c r="L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" i="1"/>
  <c r="H11" i="5"/>
  <c r="D3" i="5"/>
  <c r="D5" i="5"/>
  <c r="E5" i="5" s="1"/>
  <c r="D6" i="5"/>
  <c r="E6" i="5" s="1"/>
  <c r="D7" i="5"/>
  <c r="E7" i="5" s="1"/>
  <c r="D8" i="5"/>
  <c r="E8" i="5" s="1"/>
  <c r="D9" i="5"/>
  <c r="E9" i="5" s="1"/>
  <c r="D10" i="5"/>
  <c r="E10" i="5" s="1"/>
  <c r="D11" i="5"/>
  <c r="E11" i="5" s="1"/>
  <c r="D12" i="5"/>
  <c r="E12" i="5" s="1"/>
  <c r="D13" i="5"/>
  <c r="E13" i="5" s="1"/>
  <c r="D14" i="5"/>
  <c r="E14" i="5" s="1"/>
  <c r="D15" i="5"/>
  <c r="E15" i="5" s="1"/>
  <c r="D16" i="5"/>
  <c r="E16" i="5" s="1"/>
  <c r="D17" i="5"/>
  <c r="E17" i="5" s="1"/>
  <c r="D18" i="5"/>
  <c r="E18" i="5" s="1"/>
  <c r="D19" i="5"/>
  <c r="E19" i="5" s="1"/>
  <c r="D20" i="5"/>
  <c r="E20" i="5" s="1"/>
  <c r="D21" i="5"/>
  <c r="E21" i="5" s="1"/>
  <c r="D22" i="5"/>
  <c r="E22" i="5" s="1"/>
  <c r="D23" i="5"/>
  <c r="E23" i="5" s="1"/>
  <c r="D24" i="5"/>
  <c r="E24" i="5" s="1"/>
  <c r="D25" i="5"/>
  <c r="E25" i="5" s="1"/>
  <c r="D26" i="5"/>
  <c r="E26" i="5" s="1"/>
  <c r="D27" i="5"/>
  <c r="E27" i="5" s="1"/>
  <c r="D28" i="5"/>
  <c r="E28" i="5" s="1"/>
  <c r="D29" i="5"/>
  <c r="E29" i="5" s="1"/>
  <c r="D30" i="5"/>
  <c r="E30" i="5" s="1"/>
  <c r="D31" i="5"/>
  <c r="E31" i="5" s="1"/>
  <c r="D32" i="5"/>
  <c r="E32" i="5" s="1"/>
  <c r="D33" i="5"/>
  <c r="E33" i="5" s="1"/>
  <c r="D34" i="5"/>
  <c r="E34" i="5" s="1"/>
  <c r="D35" i="5"/>
  <c r="D55" i="1"/>
  <c r="B36" i="1"/>
  <c r="E36" i="1" s="1"/>
  <c r="B37" i="1"/>
  <c r="E37" i="1" s="1"/>
  <c r="B38" i="1"/>
  <c r="E38" i="1" s="1"/>
  <c r="B39" i="1"/>
  <c r="E39" i="1" s="1"/>
  <c r="B40" i="1"/>
  <c r="E40" i="1" s="1"/>
  <c r="B41" i="1"/>
  <c r="E41" i="1" s="1"/>
  <c r="B42" i="1"/>
  <c r="E42" i="1" s="1"/>
  <c r="B43" i="1"/>
  <c r="B44" i="1"/>
  <c r="E44" i="1" s="1"/>
  <c r="B45" i="1"/>
  <c r="E45" i="1" s="1"/>
  <c r="B46" i="1"/>
  <c r="E46" i="1" s="1"/>
  <c r="B47" i="1"/>
  <c r="E47" i="1" s="1"/>
  <c r="B48" i="1"/>
  <c r="E48" i="1" s="1"/>
  <c r="B49" i="1"/>
  <c r="E49" i="1" s="1"/>
  <c r="B50" i="1"/>
  <c r="E50" i="1" s="1"/>
  <c r="B51" i="1"/>
  <c r="E51" i="1" s="1"/>
  <c r="B52" i="1"/>
  <c r="E52" i="1" s="1"/>
  <c r="B53" i="1"/>
  <c r="E53" i="1" s="1"/>
  <c r="B54" i="1"/>
  <c r="E54" i="1" s="1"/>
  <c r="B55" i="1"/>
  <c r="E55" i="1" s="1"/>
  <c r="B56" i="1"/>
  <c r="E56" i="1" s="1"/>
  <c r="B57" i="1"/>
  <c r="E57" i="1" s="1"/>
  <c r="B58" i="1"/>
  <c r="E58" i="1" s="1"/>
  <c r="B59" i="1"/>
  <c r="B60" i="1"/>
  <c r="E60" i="1" s="1"/>
  <c r="B61" i="1"/>
  <c r="E61" i="1" s="1"/>
  <c r="B35" i="1"/>
  <c r="E35" i="1" s="1"/>
  <c r="A61" i="1"/>
  <c r="C61" i="1" s="1"/>
  <c r="A41" i="1"/>
  <c r="C41" i="1" s="1"/>
  <c r="A42" i="1"/>
  <c r="C42" i="1" s="1"/>
  <c r="A43" i="1"/>
  <c r="C43" i="1" s="1"/>
  <c r="A44" i="1"/>
  <c r="D44" i="1" s="1"/>
  <c r="A45" i="1"/>
  <c r="C45" i="1" s="1"/>
  <c r="A46" i="1"/>
  <c r="C46" i="1" s="1"/>
  <c r="A47" i="1"/>
  <c r="C47" i="1" s="1"/>
  <c r="A48" i="1"/>
  <c r="C48" i="1" s="1"/>
  <c r="A49" i="1"/>
  <c r="C49" i="1" s="1"/>
  <c r="A50" i="1"/>
  <c r="C50" i="1" s="1"/>
  <c r="A51" i="1"/>
  <c r="C51" i="1" s="1"/>
  <c r="A52" i="1"/>
  <c r="D52" i="1" s="1"/>
  <c r="A53" i="1"/>
  <c r="D53" i="1" s="1"/>
  <c r="A54" i="1"/>
  <c r="C54" i="1" s="1"/>
  <c r="A55" i="1"/>
  <c r="C55" i="1" s="1"/>
  <c r="A56" i="1"/>
  <c r="C56" i="1" s="1"/>
  <c r="A57" i="1"/>
  <c r="C57" i="1" s="1"/>
  <c r="A58" i="1"/>
  <c r="C58" i="1" s="1"/>
  <c r="A59" i="1"/>
  <c r="C59" i="1" s="1"/>
  <c r="A60" i="1"/>
  <c r="D60" i="1" s="1"/>
  <c r="A36" i="1"/>
  <c r="D36" i="1" s="1"/>
  <c r="A37" i="1"/>
  <c r="D37" i="1" s="1"/>
  <c r="A38" i="1"/>
  <c r="D38" i="1" s="1"/>
  <c r="A39" i="1"/>
  <c r="C39" i="1" s="1"/>
  <c r="A40" i="1"/>
  <c r="D40" i="1" s="1"/>
  <c r="C35" i="1"/>
  <c r="G4" i="1"/>
  <c r="H4" i="1"/>
  <c r="I4" i="1"/>
  <c r="J4" i="1"/>
  <c r="G5" i="1"/>
  <c r="H5" i="1"/>
  <c r="I5" i="1"/>
  <c r="J5" i="1"/>
  <c r="G6" i="1"/>
  <c r="H6" i="1"/>
  <c r="I6" i="1"/>
  <c r="J6" i="1"/>
  <c r="G7" i="1"/>
  <c r="H7" i="1"/>
  <c r="I7" i="1"/>
  <c r="J7" i="1"/>
  <c r="G8" i="1"/>
  <c r="H8" i="1"/>
  <c r="I8" i="1"/>
  <c r="J8" i="1"/>
  <c r="G9" i="1"/>
  <c r="H9" i="1"/>
  <c r="I9" i="1"/>
  <c r="J9" i="1"/>
  <c r="G10" i="1"/>
  <c r="H10" i="1"/>
  <c r="I10" i="1"/>
  <c r="J10" i="1"/>
  <c r="G11" i="1"/>
  <c r="H11" i="1"/>
  <c r="I11" i="1"/>
  <c r="J11" i="1"/>
  <c r="G12" i="1"/>
  <c r="H12" i="1"/>
  <c r="I12" i="1"/>
  <c r="J12" i="1"/>
  <c r="G13" i="1"/>
  <c r="H13" i="1"/>
  <c r="I13" i="1"/>
  <c r="J13" i="1"/>
  <c r="G14" i="1"/>
  <c r="H14" i="1"/>
  <c r="I14" i="1"/>
  <c r="J14" i="1"/>
  <c r="G15" i="1"/>
  <c r="H15" i="1"/>
  <c r="I15" i="1"/>
  <c r="J15" i="1"/>
  <c r="G16" i="1"/>
  <c r="H16" i="1"/>
  <c r="I16" i="1"/>
  <c r="J16" i="1"/>
  <c r="G17" i="1"/>
  <c r="H17" i="1"/>
  <c r="I17" i="1"/>
  <c r="J17" i="1"/>
  <c r="G18" i="1"/>
  <c r="H18" i="1"/>
  <c r="I18" i="1"/>
  <c r="J18" i="1"/>
  <c r="G19" i="1"/>
  <c r="H19" i="1"/>
  <c r="I19" i="1"/>
  <c r="J19" i="1"/>
  <c r="G20" i="1"/>
  <c r="H20" i="1"/>
  <c r="I20" i="1"/>
  <c r="J20" i="1"/>
  <c r="G21" i="1"/>
  <c r="H21" i="1"/>
  <c r="I21" i="1"/>
  <c r="J21" i="1"/>
  <c r="G22" i="1"/>
  <c r="H22" i="1"/>
  <c r="I22" i="1"/>
  <c r="J22" i="1"/>
  <c r="G23" i="1"/>
  <c r="H23" i="1"/>
  <c r="I23" i="1"/>
  <c r="J23" i="1"/>
  <c r="G24" i="1"/>
  <c r="H24" i="1"/>
  <c r="I24" i="1"/>
  <c r="J24" i="1"/>
  <c r="G25" i="1"/>
  <c r="H25" i="1"/>
  <c r="I25" i="1"/>
  <c r="J25" i="1"/>
  <c r="G26" i="1"/>
  <c r="H26" i="1"/>
  <c r="I26" i="1"/>
  <c r="J26" i="1"/>
  <c r="G27" i="1"/>
  <c r="H27" i="1"/>
  <c r="I27" i="1"/>
  <c r="J27" i="1"/>
  <c r="G28" i="1"/>
  <c r="H28" i="1"/>
  <c r="I28" i="1"/>
  <c r="J28" i="1"/>
  <c r="G29" i="1"/>
  <c r="H29" i="1"/>
  <c r="I29" i="1"/>
  <c r="J29" i="1"/>
  <c r="J3" i="1"/>
  <c r="I3" i="1"/>
  <c r="H3" i="1"/>
  <c r="G3" i="1"/>
  <c r="C30" i="1"/>
  <c r="B30" i="1"/>
  <c r="U4" i="1" s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" i="1"/>
  <c r="D4" i="1"/>
  <c r="L4" i="1" s="1"/>
  <c r="E4" i="1"/>
  <c r="M4" i="1" s="1"/>
  <c r="F4" i="1"/>
  <c r="D5" i="1"/>
  <c r="L5" i="1" s="1"/>
  <c r="E5" i="1"/>
  <c r="M5" i="1" s="1"/>
  <c r="F5" i="1"/>
  <c r="D6" i="1"/>
  <c r="L6" i="1" s="1"/>
  <c r="E6" i="1"/>
  <c r="M6" i="1" s="1"/>
  <c r="F6" i="1"/>
  <c r="D7" i="1"/>
  <c r="L7" i="1" s="1"/>
  <c r="E7" i="1"/>
  <c r="M7" i="1" s="1"/>
  <c r="F7" i="1"/>
  <c r="D8" i="1"/>
  <c r="L8" i="1" s="1"/>
  <c r="E8" i="1"/>
  <c r="M8" i="1" s="1"/>
  <c r="F8" i="1"/>
  <c r="D9" i="1"/>
  <c r="L9" i="1" s="1"/>
  <c r="E9" i="1"/>
  <c r="M9" i="1" s="1"/>
  <c r="F9" i="1"/>
  <c r="D10" i="1"/>
  <c r="L10" i="1" s="1"/>
  <c r="E10" i="1"/>
  <c r="M10" i="1" s="1"/>
  <c r="F10" i="1"/>
  <c r="D11" i="1"/>
  <c r="L11" i="1" s="1"/>
  <c r="E11" i="1"/>
  <c r="M11" i="1" s="1"/>
  <c r="F11" i="1"/>
  <c r="D12" i="1"/>
  <c r="L12" i="1" s="1"/>
  <c r="E12" i="1"/>
  <c r="M12" i="1" s="1"/>
  <c r="F12" i="1"/>
  <c r="D13" i="1"/>
  <c r="L13" i="1" s="1"/>
  <c r="E13" i="1"/>
  <c r="M13" i="1" s="1"/>
  <c r="F13" i="1"/>
  <c r="D14" i="1"/>
  <c r="L14" i="1" s="1"/>
  <c r="E14" i="1"/>
  <c r="M14" i="1" s="1"/>
  <c r="F14" i="1"/>
  <c r="D15" i="1"/>
  <c r="L15" i="1" s="1"/>
  <c r="E15" i="1"/>
  <c r="M15" i="1" s="1"/>
  <c r="F15" i="1"/>
  <c r="D16" i="1"/>
  <c r="L16" i="1" s="1"/>
  <c r="E16" i="1"/>
  <c r="M16" i="1" s="1"/>
  <c r="F16" i="1"/>
  <c r="D17" i="1"/>
  <c r="L17" i="1" s="1"/>
  <c r="E17" i="1"/>
  <c r="M17" i="1" s="1"/>
  <c r="F17" i="1"/>
  <c r="D18" i="1"/>
  <c r="L18" i="1" s="1"/>
  <c r="E18" i="1"/>
  <c r="M18" i="1" s="1"/>
  <c r="F18" i="1"/>
  <c r="D19" i="1"/>
  <c r="L19" i="1" s="1"/>
  <c r="E19" i="1"/>
  <c r="M19" i="1" s="1"/>
  <c r="F19" i="1"/>
  <c r="D20" i="1"/>
  <c r="L20" i="1" s="1"/>
  <c r="E20" i="1"/>
  <c r="M20" i="1" s="1"/>
  <c r="F20" i="1"/>
  <c r="D21" i="1"/>
  <c r="L21" i="1" s="1"/>
  <c r="E21" i="1"/>
  <c r="M21" i="1" s="1"/>
  <c r="F21" i="1"/>
  <c r="D22" i="1"/>
  <c r="L22" i="1" s="1"/>
  <c r="E22" i="1"/>
  <c r="M22" i="1" s="1"/>
  <c r="F22" i="1"/>
  <c r="D23" i="1"/>
  <c r="L23" i="1" s="1"/>
  <c r="E23" i="1"/>
  <c r="M23" i="1" s="1"/>
  <c r="F23" i="1"/>
  <c r="D24" i="1"/>
  <c r="L24" i="1" s="1"/>
  <c r="E24" i="1"/>
  <c r="M24" i="1" s="1"/>
  <c r="F24" i="1"/>
  <c r="D25" i="1"/>
  <c r="L25" i="1" s="1"/>
  <c r="E25" i="1"/>
  <c r="M25" i="1" s="1"/>
  <c r="F25" i="1"/>
  <c r="D26" i="1"/>
  <c r="L26" i="1" s="1"/>
  <c r="E26" i="1"/>
  <c r="M26" i="1" s="1"/>
  <c r="F26" i="1"/>
  <c r="D27" i="1"/>
  <c r="L27" i="1" s="1"/>
  <c r="E27" i="1"/>
  <c r="M27" i="1" s="1"/>
  <c r="F27" i="1"/>
  <c r="N27" i="1" s="1"/>
  <c r="D28" i="1"/>
  <c r="L28" i="1" s="1"/>
  <c r="E28" i="1"/>
  <c r="M28" i="1" s="1"/>
  <c r="F28" i="1"/>
  <c r="N28" i="1" s="1"/>
  <c r="D29" i="1"/>
  <c r="L29" i="1" s="1"/>
  <c r="E29" i="1"/>
  <c r="M29" i="1" s="1"/>
  <c r="F29" i="1"/>
  <c r="N29" i="1" s="1"/>
  <c r="F3" i="1"/>
  <c r="E3" i="1"/>
  <c r="D3" i="1"/>
  <c r="U1" i="1"/>
  <c r="T4" i="1" s="1"/>
  <c r="D36" i="8" l="1"/>
  <c r="E36" i="8" s="1"/>
  <c r="F36" i="8" s="1"/>
  <c r="G35" i="8"/>
  <c r="G27" i="8"/>
  <c r="C28" i="8"/>
  <c r="D28" i="8" s="1"/>
  <c r="E28" i="8" s="1"/>
  <c r="F28" i="8" s="1"/>
  <c r="B28" i="8"/>
  <c r="C24" i="8"/>
  <c r="D24" i="8"/>
  <c r="E24" i="8" s="1"/>
  <c r="F24" i="8" s="1"/>
  <c r="B24" i="8"/>
  <c r="G21" i="8"/>
  <c r="G22" i="8" s="1"/>
  <c r="E23" i="8"/>
  <c r="F23" i="8" s="1"/>
  <c r="H13" i="8"/>
  <c r="C14" i="8" s="1"/>
  <c r="D14" i="8" s="1"/>
  <c r="E14" i="8" s="1"/>
  <c r="F14" i="8" s="1"/>
  <c r="B15" i="8"/>
  <c r="H14" i="8"/>
  <c r="C15" i="8" s="1"/>
  <c r="D13" i="8"/>
  <c r="J12" i="6"/>
  <c r="I12" i="6"/>
  <c r="C12" i="6"/>
  <c r="B12" i="6"/>
  <c r="H7" i="5"/>
  <c r="Q16" i="1"/>
  <c r="Q13" i="1"/>
  <c r="Q17" i="1"/>
  <c r="Q9" i="1"/>
  <c r="Q27" i="1"/>
  <c r="Q12" i="1"/>
  <c r="Q15" i="1"/>
  <c r="Q18" i="1"/>
  <c r="Q7" i="1"/>
  <c r="Q3" i="1"/>
  <c r="Q19" i="1"/>
  <c r="Q24" i="1"/>
  <c r="Q26" i="1"/>
  <c r="Q29" i="1"/>
  <c r="Q14" i="1"/>
  <c r="Q4" i="1"/>
  <c r="Q30" i="1" s="1"/>
  <c r="X18" i="1" s="1"/>
  <c r="Q20" i="1"/>
  <c r="Q25" i="1"/>
  <c r="Q10" i="1"/>
  <c r="Q5" i="1"/>
  <c r="Q21" i="1"/>
  <c r="Q8" i="1"/>
  <c r="Q28" i="1"/>
  <c r="Q6" i="1"/>
  <c r="Q22" i="1"/>
  <c r="Q23" i="1"/>
  <c r="Q11" i="1"/>
  <c r="R19" i="1"/>
  <c r="R17" i="1"/>
  <c r="R4" i="1"/>
  <c r="R20" i="1"/>
  <c r="R8" i="1"/>
  <c r="R5" i="1"/>
  <c r="R21" i="1"/>
  <c r="R24" i="1"/>
  <c r="R6" i="1"/>
  <c r="R22" i="1"/>
  <c r="R7" i="1"/>
  <c r="R23" i="1"/>
  <c r="R9" i="1"/>
  <c r="R25" i="1"/>
  <c r="R10" i="1"/>
  <c r="R26" i="1"/>
  <c r="R13" i="1"/>
  <c r="R14" i="1"/>
  <c r="R16" i="1"/>
  <c r="R18" i="1"/>
  <c r="R11" i="1"/>
  <c r="R27" i="1"/>
  <c r="R12" i="1"/>
  <c r="R28" i="1"/>
  <c r="R29" i="1"/>
  <c r="R3" i="1"/>
  <c r="R15" i="1"/>
  <c r="D51" i="1"/>
  <c r="D50" i="1"/>
  <c r="D49" i="1"/>
  <c r="D48" i="1"/>
  <c r="D46" i="1"/>
  <c r="C60" i="1"/>
  <c r="D39" i="1"/>
  <c r="A62" i="1"/>
  <c r="H37" i="1" s="1"/>
  <c r="B62" i="1"/>
  <c r="K50" i="1" s="1"/>
  <c r="H50" i="1"/>
  <c r="D56" i="1"/>
  <c r="C44" i="1"/>
  <c r="C40" i="1"/>
  <c r="C38" i="1"/>
  <c r="D59" i="1"/>
  <c r="D43" i="1"/>
  <c r="C37" i="1"/>
  <c r="D35" i="1"/>
  <c r="C53" i="1"/>
  <c r="C52" i="1"/>
  <c r="C36" i="1"/>
  <c r="D47" i="1"/>
  <c r="H36" i="1"/>
  <c r="E59" i="1"/>
  <c r="E43" i="1"/>
  <c r="E62" i="1" s="1"/>
  <c r="K51" i="1" s="1"/>
  <c r="D61" i="1"/>
  <c r="D45" i="1"/>
  <c r="D58" i="1"/>
  <c r="D42" i="1"/>
  <c r="D57" i="1"/>
  <c r="D41" i="1"/>
  <c r="D54" i="1"/>
  <c r="I50" i="1"/>
  <c r="P30" i="1"/>
  <c r="W18" i="1" s="1"/>
  <c r="I30" i="1"/>
  <c r="X7" i="1" s="1"/>
  <c r="G30" i="1"/>
  <c r="V7" i="1" s="1"/>
  <c r="J30" i="1"/>
  <c r="X8" i="1" s="1"/>
  <c r="H30" i="1"/>
  <c r="X6" i="1" s="1"/>
  <c r="T5" i="1"/>
  <c r="D30" i="1"/>
  <c r="I51" i="1" s="1"/>
  <c r="E30" i="1"/>
  <c r="K30" i="1"/>
  <c r="M30" i="1"/>
  <c r="AA7" i="1" s="1"/>
  <c r="F30" i="1"/>
  <c r="L30" i="1"/>
  <c r="AA6" i="1" s="1"/>
  <c r="N30" i="1"/>
  <c r="AA8" i="1" s="1"/>
  <c r="G36" i="8" l="1"/>
  <c r="B29" i="8"/>
  <c r="H28" i="8"/>
  <c r="G28" i="8"/>
  <c r="H24" i="8"/>
  <c r="B25" i="8"/>
  <c r="G23" i="8"/>
  <c r="G24" i="8" s="1"/>
  <c r="D15" i="8"/>
  <c r="E15" i="8" s="1"/>
  <c r="F15" i="8" s="1"/>
  <c r="E13" i="8"/>
  <c r="F13" i="8" s="1"/>
  <c r="B16" i="8"/>
  <c r="H15" i="8"/>
  <c r="C16" i="8" s="1"/>
  <c r="D16" i="8" s="1"/>
  <c r="E16" i="8" s="1"/>
  <c r="F16" i="8" s="1"/>
  <c r="I36" i="1"/>
  <c r="R30" i="1"/>
  <c r="Y18" i="1" s="1"/>
  <c r="K55" i="1"/>
  <c r="C62" i="1"/>
  <c r="I37" i="1" s="1"/>
  <c r="D62" i="1"/>
  <c r="K37" i="1" s="1"/>
  <c r="I40" i="1" a="1"/>
  <c r="V8" i="1"/>
  <c r="W7" i="1"/>
  <c r="W8" i="1"/>
  <c r="X5" i="1"/>
  <c r="U8" i="1"/>
  <c r="W6" i="1"/>
  <c r="W5" i="1"/>
  <c r="V6" i="1"/>
  <c r="U7" i="1"/>
  <c r="X4" i="1"/>
  <c r="T8" i="1"/>
  <c r="T7" i="1"/>
  <c r="V5" i="1"/>
  <c r="U6" i="1"/>
  <c r="W4" i="1"/>
  <c r="T6" i="1"/>
  <c r="U5" i="1"/>
  <c r="V4" i="1"/>
  <c r="C29" i="8" l="1"/>
  <c r="B30" i="8"/>
  <c r="H29" i="8"/>
  <c r="H25" i="8"/>
  <c r="B26" i="8"/>
  <c r="H26" i="8" s="1"/>
  <c r="C25" i="8"/>
  <c r="B17" i="8"/>
  <c r="H16" i="8"/>
  <c r="G13" i="8"/>
  <c r="G14" i="8" s="1"/>
  <c r="G15" i="8" s="1"/>
  <c r="G16" i="8" s="1"/>
  <c r="K54" i="1"/>
  <c r="I40" i="1"/>
  <c r="K41" i="1"/>
  <c r="W12" i="1" a="1"/>
  <c r="W12" i="1" s="1"/>
  <c r="V12" i="1" a="1"/>
  <c r="C30" i="8" l="1"/>
  <c r="D30" i="8"/>
  <c r="E30" i="8" s="1"/>
  <c r="F30" i="8" s="1"/>
  <c r="H30" i="8"/>
  <c r="B31" i="8"/>
  <c r="D29" i="8"/>
  <c r="E29" i="8" s="1"/>
  <c r="F29" i="8" s="1"/>
  <c r="C26" i="8"/>
  <c r="D26" i="8" s="1"/>
  <c r="E26" i="8" s="1"/>
  <c r="F26" i="8" s="1"/>
  <c r="D25" i="8"/>
  <c r="E25" i="8" s="1"/>
  <c r="F25" i="8" s="1"/>
  <c r="C17" i="8"/>
  <c r="D17" i="8" s="1"/>
  <c r="E17" i="8" s="1"/>
  <c r="F17" i="8" s="1"/>
  <c r="B18" i="8"/>
  <c r="H17" i="8"/>
  <c r="G47" i="1"/>
  <c r="G48" i="1"/>
  <c r="G60" i="1"/>
  <c r="G35" i="1"/>
  <c r="G49" i="1"/>
  <c r="G56" i="1"/>
  <c r="G58" i="1"/>
  <c r="G50" i="1"/>
  <c r="G51" i="1"/>
  <c r="G40" i="1"/>
  <c r="G59" i="1"/>
  <c r="G36" i="1"/>
  <c r="G52" i="1"/>
  <c r="G57" i="1"/>
  <c r="G43" i="1"/>
  <c r="G37" i="1"/>
  <c r="G53" i="1"/>
  <c r="G61" i="1"/>
  <c r="G38" i="1"/>
  <c r="G54" i="1"/>
  <c r="G42" i="1"/>
  <c r="G45" i="1"/>
  <c r="G39" i="1"/>
  <c r="G55" i="1"/>
  <c r="G41" i="1"/>
  <c r="G44" i="1"/>
  <c r="G46" i="1"/>
  <c r="F41" i="1"/>
  <c r="F57" i="1"/>
  <c r="F36" i="1"/>
  <c r="F55" i="1"/>
  <c r="F42" i="1"/>
  <c r="F58" i="1"/>
  <c r="F53" i="1"/>
  <c r="F39" i="1"/>
  <c r="F43" i="1"/>
  <c r="F59" i="1"/>
  <c r="F49" i="1"/>
  <c r="F37" i="1"/>
  <c r="F44" i="1"/>
  <c r="F60" i="1"/>
  <c r="F52" i="1"/>
  <c r="F38" i="1"/>
  <c r="F56" i="1"/>
  <c r="F45" i="1"/>
  <c r="F61" i="1"/>
  <c r="F51" i="1"/>
  <c r="F46" i="1"/>
  <c r="F35" i="1"/>
  <c r="F54" i="1"/>
  <c r="F47" i="1"/>
  <c r="F48" i="1"/>
  <c r="F50" i="1"/>
  <c r="F40" i="1"/>
  <c r="V12" i="1"/>
  <c r="O4" i="1"/>
  <c r="O5" i="1"/>
  <c r="O6" i="1"/>
  <c r="O7" i="1"/>
  <c r="O8" i="1"/>
  <c r="O9" i="1"/>
  <c r="O25" i="1"/>
  <c r="O28" i="1"/>
  <c r="O10" i="1"/>
  <c r="O26" i="1"/>
  <c r="O27" i="1"/>
  <c r="O29" i="1"/>
  <c r="O23" i="1"/>
  <c r="O11" i="1"/>
  <c r="O12" i="1"/>
  <c r="O13" i="1"/>
  <c r="O14" i="1"/>
  <c r="O21" i="1"/>
  <c r="O24" i="1"/>
  <c r="O15" i="1"/>
  <c r="O20" i="1"/>
  <c r="O22" i="1"/>
  <c r="O16" i="1"/>
  <c r="O17" i="1"/>
  <c r="O18" i="1"/>
  <c r="O19" i="1"/>
  <c r="B32" i="8" l="1"/>
  <c r="H31" i="8"/>
  <c r="C31" i="8"/>
  <c r="D31" i="8"/>
  <c r="E31" i="8" s="1"/>
  <c r="F31" i="8" s="1"/>
  <c r="G29" i="8"/>
  <c r="G30" i="8" s="1"/>
  <c r="G25" i="8"/>
  <c r="G26" i="8" s="1"/>
  <c r="B19" i="8"/>
  <c r="H18" i="8"/>
  <c r="G17" i="8"/>
  <c r="C18" i="8"/>
  <c r="D18" i="8" s="1"/>
  <c r="E18" i="8" s="1"/>
  <c r="F18" i="8" s="1"/>
  <c r="G62" i="1"/>
  <c r="K57" i="1" s="1"/>
  <c r="F62" i="1"/>
  <c r="K43" i="1" s="1"/>
  <c r="O30" i="1"/>
  <c r="V18" i="1" s="1"/>
  <c r="G31" i="8" l="1"/>
  <c r="C32" i="8"/>
  <c r="D32" i="8" s="1"/>
  <c r="E32" i="8" s="1"/>
  <c r="F32" i="8" s="1"/>
  <c r="B33" i="8"/>
  <c r="H32" i="8"/>
  <c r="G18" i="8"/>
  <c r="C19" i="8"/>
  <c r="D19" i="8" s="1"/>
  <c r="E19" i="8" s="1"/>
  <c r="F19" i="8" s="1"/>
  <c r="B20" i="8"/>
  <c r="H19" i="8"/>
  <c r="C33" i="8" l="1"/>
  <c r="D33" i="8" s="1"/>
  <c r="E33" i="8" s="1"/>
  <c r="F33" i="8" s="1"/>
  <c r="H33" i="8"/>
  <c r="B34" i="8"/>
  <c r="H34" i="8" s="1"/>
  <c r="G32" i="8"/>
  <c r="C20" i="8"/>
  <c r="D20" i="8" s="1"/>
  <c r="E20" i="8" s="1"/>
  <c r="F20" i="8" s="1"/>
  <c r="H20" i="8"/>
  <c r="G19" i="8"/>
  <c r="G33" i="8" l="1"/>
  <c r="C34" i="8"/>
  <c r="D34" i="8" s="1"/>
  <c r="E34" i="8" s="1"/>
  <c r="F34" i="8" s="1"/>
  <c r="G20" i="8"/>
  <c r="G34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<sst xmlns="http://schemas.openxmlformats.org/spreadsheetml/2006/main" count="192" uniqueCount="130">
  <si>
    <t>X</t>
  </si>
  <si>
    <t>Y</t>
  </si>
  <si>
    <t>n=</t>
  </si>
  <si>
    <t>x^2</t>
  </si>
  <si>
    <t>x^3</t>
  </si>
  <si>
    <t>x^4</t>
  </si>
  <si>
    <t>x^5</t>
  </si>
  <si>
    <t>X*Y</t>
  </si>
  <si>
    <t>MATRIZ</t>
  </si>
  <si>
    <t>x^6</t>
  </si>
  <si>
    <t>x^7</t>
  </si>
  <si>
    <t>x^8</t>
  </si>
  <si>
    <t>VECTOR X</t>
  </si>
  <si>
    <t>=</t>
  </si>
  <si>
    <t>VECTOR B</t>
  </si>
  <si>
    <t>a0</t>
  </si>
  <si>
    <t>a1</t>
  </si>
  <si>
    <t>a2</t>
  </si>
  <si>
    <t>a3</t>
  </si>
  <si>
    <t>a4</t>
  </si>
  <si>
    <t>m=4</t>
  </si>
  <si>
    <t>m=3</t>
  </si>
  <si>
    <t>m=2</t>
  </si>
  <si>
    <t>RMSE</t>
  </si>
  <si>
    <t>m=1</t>
  </si>
  <si>
    <t>ERROR^2 m1</t>
  </si>
  <si>
    <t>ERROR^2 m2</t>
  </si>
  <si>
    <t>ERROR^2 m3</t>
  </si>
  <si>
    <t>ERROR^2 m4</t>
  </si>
  <si>
    <t>A</t>
  </si>
  <si>
    <t>X^2</t>
  </si>
  <si>
    <t>b</t>
  </si>
  <si>
    <t>a</t>
  </si>
  <si>
    <t>exponencial</t>
  </si>
  <si>
    <t>potencial</t>
  </si>
  <si>
    <t>para exponencial</t>
  </si>
  <si>
    <t>x*Y</t>
  </si>
  <si>
    <t>h</t>
  </si>
  <si>
    <t>trapecios</t>
  </si>
  <si>
    <t>Vol</t>
  </si>
  <si>
    <t>simpson 1/3</t>
  </si>
  <si>
    <t>Residuo</t>
  </si>
  <si>
    <r>
      <rPr>
        <b/>
        <sz val="12"/>
        <color theme="1"/>
        <rFont val="Calibri"/>
        <family val="2"/>
        <scheme val="minor"/>
      </rPr>
      <t>X</t>
    </r>
    <r>
      <rPr>
        <b/>
        <sz val="8"/>
        <color theme="1"/>
        <rFont val="Calibri"/>
        <family val="2"/>
        <scheme val="minor"/>
      </rPr>
      <t>i</t>
    </r>
  </si>
  <si>
    <r>
      <t>f(X</t>
    </r>
    <r>
      <rPr>
        <b/>
        <sz val="8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>)</t>
    </r>
  </si>
  <si>
    <t>i fórmula</t>
  </si>
  <si>
    <t>LN(x)</t>
  </si>
  <si>
    <t>x</t>
  </si>
  <si>
    <t>y</t>
  </si>
  <si>
    <t>x*y</t>
  </si>
  <si>
    <t>(x^2)*y</t>
  </si>
  <si>
    <t>(x^3)*y</t>
  </si>
  <si>
    <t>x^4*y</t>
  </si>
  <si>
    <t>DATO/PUNTO</t>
  </si>
  <si>
    <t>SUMATORIAS</t>
  </si>
  <si>
    <t>LN(y)</t>
  </si>
  <si>
    <t>E^2 POT</t>
  </si>
  <si>
    <t>E^2 EXP</t>
  </si>
  <si>
    <t>RMSE POT</t>
  </si>
  <si>
    <t>RMSE EXP</t>
  </si>
  <si>
    <t>f(Xn)</t>
  </si>
  <si>
    <t>f(X0)</t>
  </si>
  <si>
    <t>Datos</t>
  </si>
  <si>
    <t>h=</t>
  </si>
  <si>
    <t>error</t>
  </si>
  <si>
    <t>h*=</t>
  </si>
  <si>
    <r>
      <t>x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</si>
  <si>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f(x</t>
    </r>
    <r>
      <rPr>
        <b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>)</t>
    </r>
  </si>
  <si>
    <r>
      <t>f´(x</t>
    </r>
    <r>
      <rPr>
        <b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>)</t>
    </r>
  </si>
  <si>
    <r>
      <t>f´(x</t>
    </r>
    <r>
      <rPr>
        <b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>) exacta</t>
    </r>
  </si>
  <si>
    <t xml:space="preserve">MÉTODO DE EULER </t>
  </si>
  <si>
    <t>Formula general:</t>
  </si>
  <si>
    <t>Ecuación diferencial:</t>
  </si>
  <si>
    <t xml:space="preserve">reemplazando en la expresión general: </t>
  </si>
  <si>
    <t xml:space="preserve">para n=0    </t>
  </si>
  <si>
    <r>
      <t xml:space="preserve"> x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 xml:space="preserve"> =0</t>
    </r>
  </si>
  <si>
    <r>
      <t xml:space="preserve"> y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 xml:space="preserve"> = 1 </t>
    </r>
  </si>
  <si>
    <r>
      <t>y</t>
    </r>
    <r>
      <rPr>
        <b/>
        <sz val="12"/>
        <color theme="1"/>
        <rFont val="Times New Roman"/>
        <family val="1"/>
      </rPr>
      <t>' = −</t>
    </r>
    <r>
      <rPr>
        <b/>
        <i/>
        <sz val="12"/>
        <color theme="1"/>
        <rFont val="Times New Roman"/>
        <family val="1"/>
      </rPr>
      <t xml:space="preserve">y </t>
    </r>
    <r>
      <rPr>
        <b/>
        <sz val="12"/>
        <color theme="1"/>
        <rFont val="Times New Roman"/>
        <family val="1"/>
      </rPr>
      <t xml:space="preserve">+ </t>
    </r>
    <r>
      <rPr>
        <b/>
        <i/>
        <sz val="12"/>
        <color theme="1"/>
        <rFont val="Times New Roman"/>
        <family val="1"/>
      </rPr>
      <t xml:space="preserve">x </t>
    </r>
    <r>
      <rPr>
        <b/>
        <sz val="12"/>
        <color theme="1"/>
        <rFont val="Times New Roman"/>
        <family val="1"/>
      </rPr>
      <t xml:space="preserve">+ 1 </t>
    </r>
  </si>
  <si>
    <r>
      <t>y</t>
    </r>
    <r>
      <rPr>
        <b/>
        <i/>
        <vertAlign val="subscript"/>
        <sz val="12"/>
        <color theme="1"/>
        <rFont val="Times New Roman"/>
        <family val="1"/>
      </rPr>
      <t>n</t>
    </r>
    <r>
      <rPr>
        <b/>
        <vertAlign val="subscript"/>
        <sz val="12"/>
        <color theme="1"/>
        <rFont val="Times New Roman"/>
        <family val="1"/>
      </rPr>
      <t xml:space="preserve">+1 </t>
    </r>
    <r>
      <rPr>
        <b/>
        <sz val="12"/>
        <color theme="1"/>
        <rFont val="Times New Roman"/>
        <family val="1"/>
      </rPr>
      <t>=</t>
    </r>
    <r>
      <rPr>
        <b/>
        <i/>
        <sz val="12"/>
        <color theme="1"/>
        <rFont val="Times New Roman"/>
        <family val="1"/>
      </rPr>
      <t>y</t>
    </r>
    <r>
      <rPr>
        <b/>
        <vertAlign val="subscript"/>
        <sz val="12"/>
        <color theme="1"/>
        <rFont val="Times New Roman"/>
        <family val="1"/>
      </rPr>
      <t xml:space="preserve">n </t>
    </r>
    <r>
      <rPr>
        <b/>
        <sz val="12"/>
        <color theme="1"/>
        <rFont val="Times New Roman"/>
        <family val="1"/>
      </rPr>
      <t xml:space="preserve">+ </t>
    </r>
    <r>
      <rPr>
        <b/>
        <i/>
        <sz val="12"/>
        <color theme="1"/>
        <rFont val="Times New Roman"/>
        <family val="1"/>
      </rPr>
      <t xml:space="preserve">h </t>
    </r>
    <r>
      <rPr>
        <b/>
        <i/>
        <sz val="12"/>
        <color theme="1"/>
        <rFont val="Lucida Sans Unicode"/>
        <family val="2"/>
      </rPr>
      <t xml:space="preserve">⋅ </t>
    </r>
    <r>
      <rPr>
        <b/>
        <i/>
        <sz val="12"/>
        <color theme="1"/>
        <rFont val="Times New Roman"/>
        <family val="1"/>
      </rPr>
      <t>f (x</t>
    </r>
    <r>
      <rPr>
        <b/>
        <i/>
        <vertAlign val="subscript"/>
        <sz val="12"/>
        <color theme="1"/>
        <rFont val="Times New Roman"/>
        <family val="1"/>
      </rPr>
      <t xml:space="preserve">n </t>
    </r>
    <r>
      <rPr>
        <b/>
        <i/>
        <sz val="12"/>
        <color theme="1"/>
        <rFont val="Times New Roman"/>
        <family val="1"/>
      </rPr>
      <t>, y</t>
    </r>
    <r>
      <rPr>
        <b/>
        <i/>
        <vertAlign val="subscript"/>
        <sz val="12"/>
        <color theme="1"/>
        <rFont val="Times New Roman"/>
        <family val="1"/>
      </rPr>
      <t>n</t>
    </r>
    <r>
      <rPr>
        <b/>
        <vertAlign val="subscript"/>
        <sz val="12"/>
        <color theme="1"/>
        <rFont val="Times New Roman"/>
        <family val="1"/>
      </rPr>
      <t xml:space="preserve"> </t>
    </r>
    <r>
      <rPr>
        <b/>
        <sz val="15.5"/>
        <color theme="1"/>
        <rFont val="Times New Roman"/>
        <family val="1"/>
      </rPr>
      <t>)</t>
    </r>
  </si>
  <si>
    <r>
      <t>y</t>
    </r>
    <r>
      <rPr>
        <b/>
        <i/>
        <vertAlign val="subscript"/>
        <sz val="12"/>
        <color theme="1"/>
        <rFont val="Times New Roman"/>
        <family val="1"/>
      </rPr>
      <t>n</t>
    </r>
    <r>
      <rPr>
        <b/>
        <vertAlign val="subscript"/>
        <sz val="12"/>
        <color theme="1"/>
        <rFont val="Times New Roman"/>
        <family val="1"/>
      </rPr>
      <t xml:space="preserve">+1 </t>
    </r>
    <r>
      <rPr>
        <b/>
        <i/>
        <sz val="12"/>
        <color theme="1"/>
        <rFont val="Times New Roman"/>
        <family val="1"/>
      </rPr>
      <t>= y</t>
    </r>
    <r>
      <rPr>
        <b/>
        <vertAlign val="subscript"/>
        <sz val="12"/>
        <color theme="1"/>
        <rFont val="Arial"/>
        <family val="2"/>
      </rPr>
      <t xml:space="preserve">n </t>
    </r>
    <r>
      <rPr>
        <b/>
        <sz val="12"/>
        <color theme="1"/>
        <rFont val="Arial"/>
        <family val="2"/>
      </rPr>
      <t xml:space="preserve">+ </t>
    </r>
    <r>
      <rPr>
        <b/>
        <i/>
        <sz val="12"/>
        <color theme="1"/>
        <rFont val="Times New Roman"/>
        <family val="1"/>
      </rPr>
      <t xml:space="preserve">h </t>
    </r>
    <r>
      <rPr>
        <b/>
        <sz val="12"/>
        <color theme="1"/>
        <rFont val="Lucida Sans Unicode"/>
        <family val="2"/>
      </rPr>
      <t xml:space="preserve">⋅ </t>
    </r>
    <r>
      <rPr>
        <b/>
        <sz val="12"/>
        <color theme="1"/>
        <rFont val="Times New Roman"/>
        <family val="1"/>
      </rPr>
      <t>(−</t>
    </r>
    <r>
      <rPr>
        <b/>
        <i/>
        <sz val="12"/>
        <color theme="1"/>
        <rFont val="Times New Roman"/>
        <family val="1"/>
      </rPr>
      <t>y</t>
    </r>
    <r>
      <rPr>
        <b/>
        <vertAlign val="subscript"/>
        <sz val="12"/>
        <color theme="1"/>
        <rFont val="Arial"/>
        <family val="2"/>
      </rPr>
      <t xml:space="preserve">n </t>
    </r>
    <r>
      <rPr>
        <b/>
        <i/>
        <sz val="12"/>
        <color theme="1"/>
        <rFont val="Times New Roman"/>
        <family val="1"/>
      </rPr>
      <t>+ x</t>
    </r>
    <r>
      <rPr>
        <b/>
        <vertAlign val="subscript"/>
        <sz val="12"/>
        <color theme="1"/>
        <rFont val="Arial"/>
        <family val="2"/>
      </rPr>
      <t xml:space="preserve">n </t>
    </r>
    <r>
      <rPr>
        <b/>
        <i/>
        <sz val="12"/>
        <color theme="1"/>
        <rFont val="Times New Roman"/>
        <family val="1"/>
      </rPr>
      <t>+1)</t>
    </r>
    <r>
      <rPr>
        <b/>
        <sz val="12"/>
        <color theme="1"/>
        <rFont val="Arial"/>
        <family val="2"/>
      </rPr>
      <t xml:space="preserve"> </t>
    </r>
  </si>
  <si>
    <t>VALOR INICIAL</t>
  </si>
  <si>
    <t xml:space="preserve">para n=1    </t>
  </si>
  <si>
    <t>TABLA DE VALORES</t>
  </si>
  <si>
    <t>n</t>
  </si>
  <si>
    <r>
      <t xml:space="preserve"> y</t>
    </r>
    <r>
      <rPr>
        <b/>
        <vertAlign val="sub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= ?</t>
    </r>
  </si>
  <si>
    <r>
      <t xml:space="preserve"> x</t>
    </r>
    <r>
      <rPr>
        <b/>
        <vertAlign val="sub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=0,1</t>
    </r>
  </si>
  <si>
    <r>
      <t>y</t>
    </r>
    <r>
      <rPr>
        <vertAlign val="subscript"/>
        <sz val="12"/>
        <color theme="1"/>
        <rFont val="Times New Roman"/>
        <family val="1"/>
      </rPr>
      <t xml:space="preserve">1 </t>
    </r>
    <r>
      <rPr>
        <i/>
        <sz val="12"/>
        <color theme="1"/>
        <rFont val="Times New Roman"/>
        <family val="1"/>
      </rPr>
      <t>= y</t>
    </r>
    <r>
      <rPr>
        <vertAlign val="subscript"/>
        <sz val="12"/>
        <color theme="1"/>
        <rFont val="Times New Roman"/>
        <family val="1"/>
      </rPr>
      <t xml:space="preserve">0 </t>
    </r>
    <r>
      <rPr>
        <sz val="12"/>
        <color theme="1"/>
        <rFont val="Times New Roman"/>
        <family val="1"/>
      </rPr>
      <t>+</t>
    </r>
    <r>
      <rPr>
        <i/>
        <sz val="12"/>
        <color theme="1"/>
        <rFont val="Times New Roman"/>
        <family val="1"/>
      </rPr>
      <t>h</t>
    </r>
    <r>
      <rPr>
        <sz val="12"/>
        <color theme="1"/>
        <rFont val="Lucida Sans Unicode"/>
        <family val="2"/>
      </rPr>
      <t>⋅</t>
    </r>
    <r>
      <rPr>
        <sz val="12"/>
        <color theme="1"/>
        <rFont val="Times New Roman"/>
        <family val="1"/>
      </rPr>
      <t>(−</t>
    </r>
    <r>
      <rPr>
        <i/>
        <sz val="12"/>
        <color theme="1"/>
        <rFont val="Times New Roman"/>
        <family val="1"/>
      </rPr>
      <t>y</t>
    </r>
    <r>
      <rPr>
        <vertAlign val="subscript"/>
        <sz val="12"/>
        <color theme="1"/>
        <rFont val="Times New Roman"/>
        <family val="1"/>
      </rPr>
      <t xml:space="preserve">0 </t>
    </r>
    <r>
      <rPr>
        <i/>
        <sz val="12"/>
        <color theme="1"/>
        <rFont val="Times New Roman"/>
        <family val="1"/>
      </rPr>
      <t>+ x</t>
    </r>
    <r>
      <rPr>
        <vertAlign val="subscript"/>
        <sz val="12"/>
        <color theme="1"/>
        <rFont val="Times New Roman"/>
        <family val="1"/>
      </rPr>
      <t xml:space="preserve">0 </t>
    </r>
    <r>
      <rPr>
        <sz val="12"/>
        <color theme="1"/>
        <rFont val="Times New Roman"/>
        <family val="1"/>
      </rPr>
      <t>+1) =</t>
    </r>
    <r>
      <rPr>
        <sz val="10"/>
        <color theme="1"/>
        <rFont val="Arial"/>
        <family val="2"/>
      </rPr>
      <t xml:space="preserve">1.000 </t>
    </r>
  </si>
  <si>
    <r>
      <t>y</t>
    </r>
    <r>
      <rPr>
        <vertAlign val="subscript"/>
        <sz val="12"/>
        <color theme="1"/>
        <rFont val="Times New Roman"/>
        <family val="1"/>
      </rPr>
      <t xml:space="preserve">1 </t>
    </r>
    <r>
      <rPr>
        <i/>
        <sz val="12"/>
        <color theme="1"/>
        <rFont val="Times New Roman"/>
        <family val="1"/>
      </rPr>
      <t>=1</t>
    </r>
    <r>
      <rPr>
        <vertAlign val="subscript"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+0.1</t>
    </r>
    <r>
      <rPr>
        <sz val="12"/>
        <color theme="1"/>
        <rFont val="Lucida Sans Unicode"/>
        <family val="2"/>
      </rPr>
      <t>⋅</t>
    </r>
    <r>
      <rPr>
        <sz val="12"/>
        <color theme="1"/>
        <rFont val="Times New Roman"/>
        <family val="1"/>
      </rPr>
      <t>(−1</t>
    </r>
    <r>
      <rPr>
        <vertAlign val="subscript"/>
        <sz val="12"/>
        <color theme="1"/>
        <rFont val="Times New Roman"/>
        <family val="1"/>
      </rPr>
      <t xml:space="preserve"> </t>
    </r>
    <r>
      <rPr>
        <i/>
        <sz val="12"/>
        <color theme="1"/>
        <rFont val="Times New Roman"/>
        <family val="1"/>
      </rPr>
      <t>+ 0</t>
    </r>
    <r>
      <rPr>
        <vertAlign val="subscript"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+1) =</t>
    </r>
    <r>
      <rPr>
        <sz val="10"/>
        <color theme="1"/>
        <rFont val="Arial"/>
        <family val="2"/>
      </rPr>
      <t xml:space="preserve">1.000 </t>
    </r>
  </si>
  <si>
    <r>
      <t>y</t>
    </r>
    <r>
      <rPr>
        <vertAlign val="subscript"/>
        <sz val="12"/>
        <color theme="1"/>
        <rFont val="Times New Roman"/>
        <family val="1"/>
      </rPr>
      <t xml:space="preserve">2 </t>
    </r>
    <r>
      <rPr>
        <i/>
        <sz val="12"/>
        <color theme="1"/>
        <rFont val="Times New Roman"/>
        <family val="1"/>
      </rPr>
      <t>= y</t>
    </r>
    <r>
      <rPr>
        <vertAlign val="subscript"/>
        <sz val="12"/>
        <color theme="1"/>
        <rFont val="Times New Roman"/>
        <family val="1"/>
      </rPr>
      <t xml:space="preserve">1 </t>
    </r>
    <r>
      <rPr>
        <sz val="12"/>
        <color theme="1"/>
        <rFont val="Times New Roman"/>
        <family val="1"/>
      </rPr>
      <t>+</t>
    </r>
    <r>
      <rPr>
        <i/>
        <sz val="12"/>
        <color theme="1"/>
        <rFont val="Times New Roman"/>
        <family val="1"/>
      </rPr>
      <t>h</t>
    </r>
    <r>
      <rPr>
        <sz val="12"/>
        <color theme="1"/>
        <rFont val="Lucida Sans Unicode"/>
        <family val="2"/>
      </rPr>
      <t>⋅</t>
    </r>
    <r>
      <rPr>
        <sz val="12"/>
        <color theme="1"/>
        <rFont val="Times New Roman"/>
        <family val="1"/>
      </rPr>
      <t>(−</t>
    </r>
    <r>
      <rPr>
        <i/>
        <sz val="12"/>
        <color theme="1"/>
        <rFont val="Times New Roman"/>
        <family val="1"/>
      </rPr>
      <t>y</t>
    </r>
    <r>
      <rPr>
        <vertAlign val="subscript"/>
        <sz val="12"/>
        <color theme="1"/>
        <rFont val="Times New Roman"/>
        <family val="1"/>
      </rPr>
      <t xml:space="preserve">1 </t>
    </r>
    <r>
      <rPr>
        <i/>
        <sz val="12"/>
        <color theme="1"/>
        <rFont val="Times New Roman"/>
        <family val="1"/>
      </rPr>
      <t>+ x</t>
    </r>
    <r>
      <rPr>
        <vertAlign val="subscript"/>
        <sz val="12"/>
        <color theme="1"/>
        <rFont val="Times New Roman"/>
        <family val="1"/>
      </rPr>
      <t xml:space="preserve">1 </t>
    </r>
    <r>
      <rPr>
        <sz val="12"/>
        <color theme="1"/>
        <rFont val="Times New Roman"/>
        <family val="1"/>
      </rPr>
      <t xml:space="preserve">+1) = </t>
    </r>
    <r>
      <rPr>
        <sz val="10"/>
        <color theme="1"/>
        <rFont val="Arial"/>
        <family val="2"/>
      </rPr>
      <t>?</t>
    </r>
  </si>
  <si>
    <r>
      <t>y</t>
    </r>
    <r>
      <rPr>
        <vertAlign val="subscript"/>
        <sz val="12"/>
        <color theme="1"/>
        <rFont val="Times New Roman"/>
        <family val="1"/>
      </rPr>
      <t xml:space="preserve">2 </t>
    </r>
    <r>
      <rPr>
        <i/>
        <sz val="12"/>
        <color theme="1"/>
        <rFont val="Times New Roman"/>
        <family val="1"/>
      </rPr>
      <t>=1</t>
    </r>
    <r>
      <rPr>
        <vertAlign val="subscript"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+0.1</t>
    </r>
    <r>
      <rPr>
        <sz val="12"/>
        <color theme="1"/>
        <rFont val="Lucida Sans Unicode"/>
        <family val="2"/>
      </rPr>
      <t>⋅</t>
    </r>
    <r>
      <rPr>
        <sz val="12"/>
        <color theme="1"/>
        <rFont val="Times New Roman"/>
        <family val="1"/>
      </rPr>
      <t>(−1</t>
    </r>
    <r>
      <rPr>
        <vertAlign val="subscript"/>
        <sz val="12"/>
        <color theme="1"/>
        <rFont val="Times New Roman"/>
        <family val="1"/>
      </rPr>
      <t xml:space="preserve"> </t>
    </r>
    <r>
      <rPr>
        <i/>
        <sz val="12"/>
        <color theme="1"/>
        <rFont val="Times New Roman"/>
        <family val="1"/>
      </rPr>
      <t>+ 0,1</t>
    </r>
    <r>
      <rPr>
        <vertAlign val="subscript"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+1) =</t>
    </r>
    <r>
      <rPr>
        <sz val="10"/>
        <color theme="1"/>
        <rFont val="Arial"/>
        <family val="2"/>
      </rPr>
      <t xml:space="preserve">1.010 </t>
    </r>
  </si>
  <si>
    <t xml:space="preserve">para n=2    </t>
  </si>
  <si>
    <r>
      <t xml:space="preserve"> x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=0,2</t>
    </r>
  </si>
  <si>
    <r>
      <t xml:space="preserve"> y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= ?</t>
    </r>
  </si>
  <si>
    <r>
      <t>y</t>
    </r>
    <r>
      <rPr>
        <vertAlign val="subscript"/>
        <sz val="12"/>
        <color theme="1"/>
        <rFont val="Times New Roman"/>
        <family val="1"/>
      </rPr>
      <t xml:space="preserve">3 </t>
    </r>
    <r>
      <rPr>
        <i/>
        <sz val="12"/>
        <color theme="1"/>
        <rFont val="Times New Roman"/>
        <family val="1"/>
      </rPr>
      <t>= y</t>
    </r>
    <r>
      <rPr>
        <vertAlign val="subscript"/>
        <sz val="12"/>
        <color theme="1"/>
        <rFont val="Times New Roman"/>
        <family val="1"/>
      </rPr>
      <t xml:space="preserve">2 </t>
    </r>
    <r>
      <rPr>
        <sz val="12"/>
        <color theme="1"/>
        <rFont val="Times New Roman"/>
        <family val="1"/>
      </rPr>
      <t>+</t>
    </r>
    <r>
      <rPr>
        <i/>
        <sz val="12"/>
        <color theme="1"/>
        <rFont val="Times New Roman"/>
        <family val="1"/>
      </rPr>
      <t>h</t>
    </r>
    <r>
      <rPr>
        <sz val="12"/>
        <color theme="1"/>
        <rFont val="Lucida Sans Unicode"/>
        <family val="2"/>
      </rPr>
      <t>⋅</t>
    </r>
    <r>
      <rPr>
        <sz val="12"/>
        <color theme="1"/>
        <rFont val="Times New Roman"/>
        <family val="1"/>
      </rPr>
      <t>(−</t>
    </r>
    <r>
      <rPr>
        <i/>
        <sz val="12"/>
        <color theme="1"/>
        <rFont val="Times New Roman"/>
        <family val="1"/>
      </rPr>
      <t>y</t>
    </r>
    <r>
      <rPr>
        <vertAlign val="subscript"/>
        <sz val="12"/>
        <color theme="1"/>
        <rFont val="Times New Roman"/>
        <family val="1"/>
      </rPr>
      <t xml:space="preserve">2 </t>
    </r>
    <r>
      <rPr>
        <i/>
        <sz val="12"/>
        <color theme="1"/>
        <rFont val="Times New Roman"/>
        <family val="1"/>
      </rPr>
      <t>+ x</t>
    </r>
    <r>
      <rPr>
        <vertAlign val="subscript"/>
        <sz val="12"/>
        <color theme="1"/>
        <rFont val="Times New Roman"/>
        <family val="1"/>
      </rPr>
      <t xml:space="preserve">2 </t>
    </r>
    <r>
      <rPr>
        <sz val="12"/>
        <color theme="1"/>
        <rFont val="Times New Roman"/>
        <family val="1"/>
      </rPr>
      <t xml:space="preserve">+1) = </t>
    </r>
    <r>
      <rPr>
        <sz val="10"/>
        <color theme="1"/>
        <rFont val="Arial"/>
        <family val="2"/>
      </rPr>
      <t>?</t>
    </r>
  </si>
  <si>
    <r>
      <t>y</t>
    </r>
    <r>
      <rPr>
        <vertAlign val="subscript"/>
        <sz val="12"/>
        <color theme="1"/>
        <rFont val="Times New Roman"/>
        <family val="1"/>
      </rPr>
      <t xml:space="preserve">3 </t>
    </r>
    <r>
      <rPr>
        <i/>
        <sz val="12"/>
        <color theme="1"/>
        <rFont val="Times New Roman"/>
        <family val="1"/>
      </rPr>
      <t>=1.010</t>
    </r>
    <r>
      <rPr>
        <vertAlign val="subscript"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+0.1</t>
    </r>
    <r>
      <rPr>
        <sz val="12"/>
        <color theme="1"/>
        <rFont val="Lucida Sans Unicode"/>
        <family val="2"/>
      </rPr>
      <t>⋅</t>
    </r>
    <r>
      <rPr>
        <sz val="12"/>
        <color theme="1"/>
        <rFont val="Times New Roman"/>
        <family val="1"/>
      </rPr>
      <t>(−1.010</t>
    </r>
    <r>
      <rPr>
        <vertAlign val="subscript"/>
        <sz val="12"/>
        <color theme="1"/>
        <rFont val="Times New Roman"/>
        <family val="1"/>
      </rPr>
      <t xml:space="preserve"> </t>
    </r>
    <r>
      <rPr>
        <i/>
        <sz val="12"/>
        <color theme="1"/>
        <rFont val="Times New Roman"/>
        <family val="1"/>
      </rPr>
      <t>+ 0,2</t>
    </r>
    <r>
      <rPr>
        <vertAlign val="subscript"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+1) =</t>
    </r>
    <r>
      <rPr>
        <sz val="10"/>
        <color theme="1"/>
        <rFont val="Arial"/>
        <family val="2"/>
      </rPr>
      <t xml:space="preserve">1.029 </t>
    </r>
  </si>
  <si>
    <t xml:space="preserve">para n=3    </t>
  </si>
  <si>
    <r>
      <t xml:space="preserve"> x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=0,3</t>
    </r>
  </si>
  <si>
    <r>
      <t xml:space="preserve"> y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= ?</t>
    </r>
  </si>
  <si>
    <r>
      <t>y</t>
    </r>
    <r>
      <rPr>
        <vertAlign val="subscript"/>
        <sz val="12"/>
        <color theme="1"/>
        <rFont val="Times New Roman"/>
        <family val="1"/>
      </rPr>
      <t xml:space="preserve">4 </t>
    </r>
    <r>
      <rPr>
        <i/>
        <sz val="12"/>
        <color theme="1"/>
        <rFont val="Times New Roman"/>
        <family val="1"/>
      </rPr>
      <t>= y</t>
    </r>
    <r>
      <rPr>
        <vertAlign val="subscript"/>
        <sz val="12"/>
        <color theme="1"/>
        <rFont val="Times New Roman"/>
        <family val="1"/>
      </rPr>
      <t xml:space="preserve">3 </t>
    </r>
    <r>
      <rPr>
        <sz val="12"/>
        <color theme="1"/>
        <rFont val="Times New Roman"/>
        <family val="1"/>
      </rPr>
      <t>+</t>
    </r>
    <r>
      <rPr>
        <i/>
        <sz val="12"/>
        <color theme="1"/>
        <rFont val="Times New Roman"/>
        <family val="1"/>
      </rPr>
      <t>h</t>
    </r>
    <r>
      <rPr>
        <sz val="12"/>
        <color theme="1"/>
        <rFont val="Lucida Sans Unicode"/>
        <family val="2"/>
      </rPr>
      <t>⋅</t>
    </r>
    <r>
      <rPr>
        <sz val="12"/>
        <color theme="1"/>
        <rFont val="Times New Roman"/>
        <family val="1"/>
      </rPr>
      <t>(−</t>
    </r>
    <r>
      <rPr>
        <i/>
        <sz val="12"/>
        <color theme="1"/>
        <rFont val="Times New Roman"/>
        <family val="1"/>
      </rPr>
      <t>y</t>
    </r>
    <r>
      <rPr>
        <vertAlign val="subscript"/>
        <sz val="12"/>
        <color theme="1"/>
        <rFont val="Times New Roman"/>
        <family val="1"/>
      </rPr>
      <t xml:space="preserve">3 </t>
    </r>
    <r>
      <rPr>
        <i/>
        <sz val="12"/>
        <color theme="1"/>
        <rFont val="Times New Roman"/>
        <family val="1"/>
      </rPr>
      <t>+ x</t>
    </r>
    <r>
      <rPr>
        <vertAlign val="subscript"/>
        <sz val="12"/>
        <color theme="1"/>
        <rFont val="Times New Roman"/>
        <family val="1"/>
      </rPr>
      <t xml:space="preserve">3 </t>
    </r>
    <r>
      <rPr>
        <sz val="12"/>
        <color theme="1"/>
        <rFont val="Times New Roman"/>
        <family val="1"/>
      </rPr>
      <t xml:space="preserve">+1) = </t>
    </r>
    <r>
      <rPr>
        <sz val="10"/>
        <color theme="1"/>
        <rFont val="Arial"/>
        <family val="2"/>
      </rPr>
      <t>?</t>
    </r>
  </si>
  <si>
    <r>
      <t>y</t>
    </r>
    <r>
      <rPr>
        <vertAlign val="subscript"/>
        <sz val="12"/>
        <color theme="1"/>
        <rFont val="Times New Roman"/>
        <family val="1"/>
      </rPr>
      <t xml:space="preserve">4 </t>
    </r>
    <r>
      <rPr>
        <i/>
        <sz val="12"/>
        <color theme="1"/>
        <rFont val="Times New Roman"/>
        <family val="1"/>
      </rPr>
      <t>=1.029</t>
    </r>
    <r>
      <rPr>
        <vertAlign val="subscript"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+0.1</t>
    </r>
    <r>
      <rPr>
        <sz val="12"/>
        <color theme="1"/>
        <rFont val="Lucida Sans Unicode"/>
        <family val="2"/>
      </rPr>
      <t>⋅</t>
    </r>
    <r>
      <rPr>
        <sz val="12"/>
        <color theme="1"/>
        <rFont val="Times New Roman"/>
        <family val="1"/>
      </rPr>
      <t>(−1.029</t>
    </r>
    <r>
      <rPr>
        <vertAlign val="subscript"/>
        <sz val="12"/>
        <color theme="1"/>
        <rFont val="Times New Roman"/>
        <family val="1"/>
      </rPr>
      <t xml:space="preserve"> </t>
    </r>
    <r>
      <rPr>
        <i/>
        <sz val="12"/>
        <color theme="1"/>
        <rFont val="Times New Roman"/>
        <family val="1"/>
      </rPr>
      <t>+ 0,3</t>
    </r>
    <r>
      <rPr>
        <vertAlign val="subscript"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+1) =</t>
    </r>
    <r>
      <rPr>
        <sz val="10"/>
        <color theme="1"/>
        <rFont val="Arial"/>
        <family val="2"/>
      </rPr>
      <t xml:space="preserve">1.056 </t>
    </r>
  </si>
  <si>
    <t xml:space="preserve">para n=4    </t>
  </si>
  <si>
    <r>
      <t xml:space="preserve"> x</t>
    </r>
    <r>
      <rPr>
        <b/>
        <vertAlign val="subscript"/>
        <sz val="11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 xml:space="preserve"> =0,4</t>
    </r>
  </si>
  <si>
    <r>
      <t xml:space="preserve"> y</t>
    </r>
    <r>
      <rPr>
        <b/>
        <vertAlign val="subscript"/>
        <sz val="11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 xml:space="preserve"> = ?</t>
    </r>
  </si>
  <si>
    <t>MÉTODO DE EULER MEJORADO</t>
  </si>
  <si>
    <r>
      <t>y</t>
    </r>
    <r>
      <rPr>
        <b/>
        <i/>
        <vertAlign val="subscript"/>
        <sz val="12"/>
        <color theme="1"/>
        <rFont val="Times New Roman"/>
        <family val="1"/>
      </rPr>
      <t>n</t>
    </r>
    <r>
      <rPr>
        <b/>
        <vertAlign val="subscript"/>
        <sz val="12"/>
        <color theme="1"/>
        <rFont val="Times New Roman"/>
        <family val="1"/>
      </rPr>
      <t xml:space="preserve">+1 </t>
    </r>
    <r>
      <rPr>
        <b/>
        <sz val="12"/>
        <color theme="1"/>
        <rFont val="Times New Roman"/>
        <family val="1"/>
      </rPr>
      <t>=</t>
    </r>
    <r>
      <rPr>
        <b/>
        <i/>
        <sz val="12"/>
        <color theme="1"/>
        <rFont val="Times New Roman"/>
        <family val="1"/>
      </rPr>
      <t>y</t>
    </r>
    <r>
      <rPr>
        <b/>
        <vertAlign val="subscript"/>
        <sz val="12"/>
        <color theme="1"/>
        <rFont val="Times New Roman"/>
        <family val="1"/>
      </rPr>
      <t xml:space="preserve">n </t>
    </r>
    <r>
      <rPr>
        <b/>
        <sz val="12"/>
        <color theme="1"/>
        <rFont val="Times New Roman"/>
        <family val="1"/>
      </rPr>
      <t xml:space="preserve">+ </t>
    </r>
    <r>
      <rPr>
        <b/>
        <i/>
        <sz val="12"/>
        <color theme="1"/>
        <rFont val="Times New Roman"/>
        <family val="1"/>
      </rPr>
      <t xml:space="preserve">h/2 </t>
    </r>
    <r>
      <rPr>
        <b/>
        <i/>
        <sz val="12"/>
        <color theme="1"/>
        <rFont val="Lucida Sans Unicode"/>
        <family val="2"/>
      </rPr>
      <t xml:space="preserve">⋅ [ </t>
    </r>
    <r>
      <rPr>
        <b/>
        <i/>
        <sz val="12"/>
        <color theme="1"/>
        <rFont val="Times New Roman"/>
        <family val="1"/>
      </rPr>
      <t>(−y</t>
    </r>
    <r>
      <rPr>
        <b/>
        <i/>
        <vertAlign val="subscript"/>
        <sz val="12"/>
        <color theme="1"/>
        <rFont val="Times New Roman"/>
        <family val="1"/>
      </rPr>
      <t>n</t>
    </r>
    <r>
      <rPr>
        <b/>
        <i/>
        <sz val="12"/>
        <color theme="1"/>
        <rFont val="Times New Roman"/>
        <family val="1"/>
      </rPr>
      <t xml:space="preserve"> + x</t>
    </r>
    <r>
      <rPr>
        <b/>
        <i/>
        <vertAlign val="subscript"/>
        <sz val="12"/>
        <color theme="1"/>
        <rFont val="Times New Roman"/>
        <family val="1"/>
      </rPr>
      <t>n</t>
    </r>
    <r>
      <rPr>
        <b/>
        <i/>
        <sz val="12"/>
        <color theme="1"/>
        <rFont val="Times New Roman"/>
        <family val="1"/>
      </rPr>
      <t xml:space="preserve"> +1) + (−y</t>
    </r>
    <r>
      <rPr>
        <b/>
        <i/>
        <vertAlign val="subscript"/>
        <sz val="12"/>
        <color theme="1"/>
        <rFont val="Times New Roman"/>
        <family val="1"/>
      </rPr>
      <t>n</t>
    </r>
    <r>
      <rPr>
        <b/>
        <i/>
        <sz val="12"/>
        <color theme="1"/>
        <rFont val="Times New Roman"/>
        <family val="1"/>
      </rPr>
      <t xml:space="preserve"> + h (−y</t>
    </r>
    <r>
      <rPr>
        <b/>
        <i/>
        <vertAlign val="subscript"/>
        <sz val="12"/>
        <color theme="1"/>
        <rFont val="Times New Roman"/>
        <family val="1"/>
      </rPr>
      <t>n</t>
    </r>
    <r>
      <rPr>
        <b/>
        <i/>
        <sz val="12"/>
        <color theme="1"/>
        <rFont val="Times New Roman"/>
        <family val="1"/>
      </rPr>
      <t xml:space="preserve"> + x</t>
    </r>
    <r>
      <rPr>
        <b/>
        <i/>
        <vertAlign val="subscript"/>
        <sz val="12"/>
        <color theme="1"/>
        <rFont val="Times New Roman"/>
        <family val="1"/>
      </rPr>
      <t>n</t>
    </r>
    <r>
      <rPr>
        <b/>
        <i/>
        <sz val="12"/>
        <color theme="1"/>
        <rFont val="Times New Roman"/>
        <family val="1"/>
      </rPr>
      <t xml:space="preserve"> +1) + x</t>
    </r>
    <r>
      <rPr>
        <b/>
        <i/>
        <vertAlign val="subscript"/>
        <sz val="12"/>
        <color theme="1"/>
        <rFont val="Times New Roman"/>
        <family val="1"/>
      </rPr>
      <t>n+1</t>
    </r>
    <r>
      <rPr>
        <b/>
        <i/>
        <sz val="12"/>
        <color theme="1"/>
        <rFont val="Times New Roman"/>
        <family val="1"/>
      </rPr>
      <t xml:space="preserve"> +1 ]</t>
    </r>
  </si>
  <si>
    <r>
      <t>y</t>
    </r>
    <r>
      <rPr>
        <b/>
        <i/>
        <vertAlign val="subscript"/>
        <sz val="12"/>
        <color theme="1"/>
        <rFont val="Times New Roman"/>
        <family val="1"/>
      </rPr>
      <t>n</t>
    </r>
    <r>
      <rPr>
        <b/>
        <vertAlign val="subscript"/>
        <sz val="12"/>
        <color theme="1"/>
        <rFont val="Times New Roman"/>
        <family val="1"/>
      </rPr>
      <t xml:space="preserve">+1 </t>
    </r>
    <r>
      <rPr>
        <b/>
        <i/>
        <sz val="12"/>
        <color theme="1"/>
        <rFont val="Times New Roman"/>
        <family val="1"/>
      </rPr>
      <t>= y</t>
    </r>
    <r>
      <rPr>
        <b/>
        <vertAlign val="subscript"/>
        <sz val="12"/>
        <color theme="1"/>
        <rFont val="Times New Roman"/>
        <family val="1"/>
      </rPr>
      <t xml:space="preserve">n </t>
    </r>
    <r>
      <rPr>
        <b/>
        <sz val="12"/>
        <color theme="1"/>
        <rFont val="Times New Roman"/>
        <family val="1"/>
      </rPr>
      <t>+</t>
    </r>
    <r>
      <rPr>
        <b/>
        <i/>
        <sz val="12"/>
        <color theme="1"/>
        <rFont val="Times New Roman"/>
        <family val="1"/>
      </rPr>
      <t>h/2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Lucida Sans Unicode"/>
        <family val="2"/>
      </rPr>
      <t>⋅</t>
    </r>
    <r>
      <rPr>
        <b/>
        <sz val="16.5"/>
        <color theme="1"/>
        <rFont val="Times New Roman"/>
        <family val="1"/>
      </rPr>
      <t>[</t>
    </r>
    <r>
      <rPr>
        <b/>
        <i/>
        <sz val="12"/>
        <color theme="1"/>
        <rFont val="Times New Roman"/>
        <family val="1"/>
      </rPr>
      <t>f</t>
    </r>
    <r>
      <rPr>
        <b/>
        <sz val="15.5"/>
        <color theme="1"/>
        <rFont val="Times New Roman"/>
        <family val="1"/>
      </rPr>
      <t>(</t>
    </r>
    <r>
      <rPr>
        <b/>
        <i/>
        <sz val="12"/>
        <color theme="1"/>
        <rFont val="Times New Roman"/>
        <family val="1"/>
      </rPr>
      <t>x</t>
    </r>
    <r>
      <rPr>
        <b/>
        <vertAlign val="subscript"/>
        <sz val="12"/>
        <color theme="1"/>
        <rFont val="Times New Roman"/>
        <family val="1"/>
      </rPr>
      <t xml:space="preserve">n </t>
    </r>
    <r>
      <rPr>
        <b/>
        <sz val="12"/>
        <color theme="1"/>
        <rFont val="Times New Roman"/>
        <family val="1"/>
      </rPr>
      <t xml:space="preserve">, </t>
    </r>
    <r>
      <rPr>
        <b/>
        <i/>
        <sz val="12"/>
        <color theme="1"/>
        <rFont val="Times New Roman"/>
        <family val="1"/>
      </rPr>
      <t>y</t>
    </r>
    <r>
      <rPr>
        <b/>
        <vertAlign val="subscript"/>
        <sz val="12"/>
        <color theme="1"/>
        <rFont val="Times New Roman"/>
        <family val="1"/>
      </rPr>
      <t xml:space="preserve">n </t>
    </r>
    <r>
      <rPr>
        <b/>
        <sz val="15.5"/>
        <color theme="1"/>
        <rFont val="Times New Roman"/>
        <family val="1"/>
      </rPr>
      <t>)</t>
    </r>
    <r>
      <rPr>
        <b/>
        <sz val="12"/>
        <color theme="1"/>
        <rFont val="Times New Roman"/>
        <family val="1"/>
      </rPr>
      <t>+</t>
    </r>
    <r>
      <rPr>
        <b/>
        <i/>
        <sz val="12"/>
        <color theme="1"/>
        <rFont val="Times New Roman"/>
        <family val="1"/>
      </rPr>
      <t>f</t>
    </r>
    <r>
      <rPr>
        <b/>
        <sz val="15.5"/>
        <color theme="1"/>
        <rFont val="Times New Roman"/>
        <family val="1"/>
      </rPr>
      <t>(</t>
    </r>
    <r>
      <rPr>
        <b/>
        <i/>
        <sz val="12"/>
        <color theme="1"/>
        <rFont val="Times New Roman"/>
        <family val="1"/>
      </rPr>
      <t>x</t>
    </r>
    <r>
      <rPr>
        <b/>
        <i/>
        <vertAlign val="subscript"/>
        <sz val="12"/>
        <color theme="1"/>
        <rFont val="Times New Roman"/>
        <family val="1"/>
      </rPr>
      <t>n</t>
    </r>
    <r>
      <rPr>
        <b/>
        <vertAlign val="subscript"/>
        <sz val="12"/>
        <color theme="1"/>
        <rFont val="Times New Roman"/>
        <family val="1"/>
      </rPr>
      <t>+1</t>
    </r>
    <r>
      <rPr>
        <b/>
        <sz val="12"/>
        <color theme="1"/>
        <rFont val="Times New Roman"/>
        <family val="1"/>
      </rPr>
      <t xml:space="preserve">, </t>
    </r>
    <r>
      <rPr>
        <b/>
        <i/>
        <sz val="12"/>
        <color theme="1"/>
        <rFont val="Times New Roman"/>
        <family val="1"/>
      </rPr>
      <t>y</t>
    </r>
    <r>
      <rPr>
        <b/>
        <vertAlign val="subscript"/>
        <sz val="12"/>
        <color theme="1"/>
        <rFont val="Times New Roman"/>
        <family val="1"/>
      </rPr>
      <t xml:space="preserve">n </t>
    </r>
    <r>
      <rPr>
        <b/>
        <sz val="12"/>
        <color theme="1"/>
        <rFont val="Times New Roman"/>
        <family val="1"/>
      </rPr>
      <t>+</t>
    </r>
    <r>
      <rPr>
        <b/>
        <i/>
        <sz val="12"/>
        <color theme="1"/>
        <rFont val="Times New Roman"/>
        <family val="1"/>
      </rPr>
      <t>h</t>
    </r>
    <r>
      <rPr>
        <b/>
        <sz val="12"/>
        <color theme="1"/>
        <rFont val="Lucida Sans Unicode"/>
        <family val="2"/>
      </rPr>
      <t>⋅</t>
    </r>
    <r>
      <rPr>
        <b/>
        <i/>
        <sz val="12"/>
        <color theme="1"/>
        <rFont val="Times New Roman"/>
        <family val="1"/>
      </rPr>
      <t>f</t>
    </r>
    <r>
      <rPr>
        <b/>
        <sz val="15.5"/>
        <color theme="1"/>
        <rFont val="Times New Roman"/>
        <family val="1"/>
      </rPr>
      <t>(</t>
    </r>
    <r>
      <rPr>
        <b/>
        <i/>
        <sz val="12"/>
        <color theme="1"/>
        <rFont val="Times New Roman"/>
        <family val="1"/>
      </rPr>
      <t>x</t>
    </r>
    <r>
      <rPr>
        <b/>
        <vertAlign val="subscript"/>
        <sz val="12"/>
        <color theme="1"/>
        <rFont val="Times New Roman"/>
        <family val="1"/>
      </rPr>
      <t xml:space="preserve">n </t>
    </r>
    <r>
      <rPr>
        <b/>
        <sz val="12"/>
        <color theme="1"/>
        <rFont val="Times New Roman"/>
        <family val="1"/>
      </rPr>
      <t xml:space="preserve">, </t>
    </r>
    <r>
      <rPr>
        <b/>
        <i/>
        <sz val="12"/>
        <color theme="1"/>
        <rFont val="Times New Roman"/>
        <family val="1"/>
      </rPr>
      <t>y</t>
    </r>
    <r>
      <rPr>
        <b/>
        <vertAlign val="subscript"/>
        <sz val="12"/>
        <color theme="1"/>
        <rFont val="Times New Roman"/>
        <family val="1"/>
      </rPr>
      <t xml:space="preserve">n </t>
    </r>
    <r>
      <rPr>
        <b/>
        <sz val="15.5"/>
        <color theme="1"/>
        <rFont val="Times New Roman"/>
        <family val="1"/>
      </rPr>
      <t>))</t>
    </r>
    <r>
      <rPr>
        <b/>
        <sz val="16.5"/>
        <color theme="1"/>
        <rFont val="Times New Roman"/>
        <family val="1"/>
      </rPr>
      <t>]</t>
    </r>
  </si>
  <si>
    <t>Formula general extendida:</t>
  </si>
  <si>
    <r>
      <t>y</t>
    </r>
    <r>
      <rPr>
        <b/>
        <i/>
        <vertAlign val="subscript"/>
        <sz val="12"/>
        <color theme="1"/>
        <rFont val="Times New Roman"/>
        <family val="1"/>
      </rPr>
      <t>n</t>
    </r>
    <r>
      <rPr>
        <b/>
        <vertAlign val="subscript"/>
        <sz val="12"/>
        <color theme="1"/>
        <rFont val="Times New Roman"/>
        <family val="1"/>
      </rPr>
      <t xml:space="preserve">+1 </t>
    </r>
    <r>
      <rPr>
        <b/>
        <i/>
        <sz val="12"/>
        <color theme="1"/>
        <rFont val="Times New Roman"/>
        <family val="1"/>
      </rPr>
      <t>= y</t>
    </r>
    <r>
      <rPr>
        <b/>
        <vertAlign val="subscript"/>
        <sz val="12"/>
        <color theme="1"/>
        <rFont val="Times New Roman"/>
        <family val="1"/>
      </rPr>
      <t xml:space="preserve">n </t>
    </r>
    <r>
      <rPr>
        <b/>
        <sz val="12"/>
        <color theme="1"/>
        <rFont val="Times New Roman"/>
        <family val="1"/>
      </rPr>
      <t>+</t>
    </r>
    <r>
      <rPr>
        <b/>
        <i/>
        <sz val="12"/>
        <color theme="1"/>
        <rFont val="Times New Roman"/>
        <family val="1"/>
      </rPr>
      <t>h/2</t>
    </r>
    <r>
      <rPr>
        <b/>
        <vertAlign val="superscript"/>
        <sz val="12"/>
        <color theme="1"/>
        <rFont val="Times New Roman"/>
        <family val="1"/>
      </rPr>
      <t xml:space="preserve"> </t>
    </r>
    <r>
      <rPr>
        <b/>
        <sz val="12"/>
        <color theme="1"/>
        <rFont val="Lucida Sans Unicode"/>
        <family val="2"/>
      </rPr>
      <t>⋅</t>
    </r>
    <r>
      <rPr>
        <b/>
        <sz val="16.5"/>
        <color theme="1"/>
        <rFont val="Times New Roman"/>
        <family val="1"/>
      </rPr>
      <t>[</t>
    </r>
    <r>
      <rPr>
        <b/>
        <i/>
        <sz val="12"/>
        <color theme="1"/>
        <rFont val="Times New Roman"/>
        <family val="1"/>
      </rPr>
      <t>f</t>
    </r>
    <r>
      <rPr>
        <b/>
        <sz val="15.5"/>
        <color theme="1"/>
        <rFont val="Times New Roman"/>
        <family val="1"/>
      </rPr>
      <t>(</t>
    </r>
    <r>
      <rPr>
        <b/>
        <i/>
        <sz val="12"/>
        <color theme="1"/>
        <rFont val="Times New Roman"/>
        <family val="1"/>
      </rPr>
      <t>x</t>
    </r>
    <r>
      <rPr>
        <b/>
        <vertAlign val="subscript"/>
        <sz val="12"/>
        <color theme="1"/>
        <rFont val="Times New Roman"/>
        <family val="1"/>
      </rPr>
      <t xml:space="preserve">n </t>
    </r>
    <r>
      <rPr>
        <b/>
        <sz val="12"/>
        <color theme="1"/>
        <rFont val="Times New Roman"/>
        <family val="1"/>
      </rPr>
      <t xml:space="preserve">, </t>
    </r>
    <r>
      <rPr>
        <b/>
        <i/>
        <sz val="12"/>
        <color theme="1"/>
        <rFont val="Times New Roman"/>
        <family val="1"/>
      </rPr>
      <t>y</t>
    </r>
    <r>
      <rPr>
        <b/>
        <vertAlign val="subscript"/>
        <sz val="12"/>
        <color theme="1"/>
        <rFont val="Times New Roman"/>
        <family val="1"/>
      </rPr>
      <t xml:space="preserve">n </t>
    </r>
    <r>
      <rPr>
        <b/>
        <sz val="15.5"/>
        <color theme="1"/>
        <rFont val="Times New Roman"/>
        <family val="1"/>
      </rPr>
      <t>)</t>
    </r>
    <r>
      <rPr>
        <b/>
        <sz val="12"/>
        <color theme="1"/>
        <rFont val="Times New Roman"/>
        <family val="1"/>
      </rPr>
      <t>+</t>
    </r>
    <r>
      <rPr>
        <b/>
        <i/>
        <sz val="12"/>
        <color theme="1"/>
        <rFont val="Times New Roman"/>
        <family val="1"/>
      </rPr>
      <t>f</t>
    </r>
    <r>
      <rPr>
        <b/>
        <sz val="15.5"/>
        <color theme="1"/>
        <rFont val="Times New Roman"/>
        <family val="1"/>
      </rPr>
      <t>(</t>
    </r>
    <r>
      <rPr>
        <b/>
        <i/>
        <sz val="12"/>
        <color theme="1"/>
        <rFont val="Times New Roman"/>
        <family val="1"/>
      </rPr>
      <t>x</t>
    </r>
    <r>
      <rPr>
        <b/>
        <i/>
        <vertAlign val="subscript"/>
        <sz val="12"/>
        <color theme="1"/>
        <rFont val="Times New Roman"/>
        <family val="1"/>
      </rPr>
      <t>n</t>
    </r>
    <r>
      <rPr>
        <b/>
        <vertAlign val="subscript"/>
        <sz val="12"/>
        <color theme="1"/>
        <rFont val="Times New Roman"/>
        <family val="1"/>
      </rPr>
      <t>+1</t>
    </r>
    <r>
      <rPr>
        <b/>
        <sz val="12"/>
        <color theme="1"/>
        <rFont val="Times New Roman"/>
        <family val="1"/>
      </rPr>
      <t xml:space="preserve">, </t>
    </r>
    <r>
      <rPr>
        <b/>
        <i/>
        <sz val="12"/>
        <color theme="1"/>
        <rFont val="Times New Roman"/>
        <family val="1"/>
      </rPr>
      <t>y*</t>
    </r>
    <r>
      <rPr>
        <b/>
        <i/>
        <vertAlign val="subscript"/>
        <sz val="12"/>
        <color theme="1"/>
        <rFont val="Times New Roman"/>
        <family val="1"/>
      </rPr>
      <t>n</t>
    </r>
    <r>
      <rPr>
        <b/>
        <vertAlign val="subscript"/>
        <sz val="12"/>
        <color theme="1"/>
        <rFont val="Times New Roman"/>
        <family val="1"/>
      </rPr>
      <t xml:space="preserve">+1 </t>
    </r>
    <r>
      <rPr>
        <b/>
        <sz val="15.5"/>
        <color theme="1"/>
        <rFont val="Times New Roman"/>
        <family val="1"/>
      </rPr>
      <t>)</t>
    </r>
    <r>
      <rPr>
        <b/>
        <sz val="16.5"/>
        <color theme="1"/>
        <rFont val="Times New Roman"/>
        <family val="1"/>
      </rPr>
      <t>]</t>
    </r>
  </si>
  <si>
    <r>
      <t>y</t>
    </r>
    <r>
      <rPr>
        <b/>
        <vertAlign val="subscript"/>
        <sz val="12"/>
        <color theme="1"/>
        <rFont val="Times New Roman"/>
        <family val="1"/>
      </rPr>
      <t xml:space="preserve">1 </t>
    </r>
    <r>
      <rPr>
        <b/>
        <sz val="12"/>
        <color theme="1"/>
        <rFont val="Times New Roman"/>
        <family val="1"/>
      </rPr>
      <t>=</t>
    </r>
    <r>
      <rPr>
        <b/>
        <i/>
        <sz val="12"/>
        <color theme="1"/>
        <rFont val="Times New Roman"/>
        <family val="1"/>
      </rPr>
      <t>y</t>
    </r>
    <r>
      <rPr>
        <b/>
        <vertAlign val="subscript"/>
        <sz val="12"/>
        <color theme="1"/>
        <rFont val="Times New Roman"/>
        <family val="1"/>
      </rPr>
      <t xml:space="preserve">0 </t>
    </r>
    <r>
      <rPr>
        <b/>
        <sz val="12"/>
        <color theme="1"/>
        <rFont val="Times New Roman"/>
        <family val="1"/>
      </rPr>
      <t xml:space="preserve">+ </t>
    </r>
    <r>
      <rPr>
        <b/>
        <i/>
        <sz val="12"/>
        <color theme="1"/>
        <rFont val="Times New Roman"/>
        <family val="1"/>
      </rPr>
      <t xml:space="preserve">h/2 </t>
    </r>
    <r>
      <rPr>
        <b/>
        <i/>
        <sz val="12"/>
        <color theme="1"/>
        <rFont val="Lucida Sans Unicode"/>
        <family val="2"/>
      </rPr>
      <t xml:space="preserve">⋅ [ </t>
    </r>
    <r>
      <rPr>
        <b/>
        <i/>
        <sz val="12"/>
        <color theme="1"/>
        <rFont val="Times New Roman"/>
        <family val="1"/>
      </rPr>
      <t>(−y</t>
    </r>
    <r>
      <rPr>
        <b/>
        <i/>
        <vertAlign val="subscript"/>
        <sz val="12"/>
        <color theme="1"/>
        <rFont val="Times New Roman"/>
        <family val="1"/>
      </rPr>
      <t>0</t>
    </r>
    <r>
      <rPr>
        <b/>
        <i/>
        <sz val="12"/>
        <color theme="1"/>
        <rFont val="Times New Roman"/>
        <family val="1"/>
      </rPr>
      <t xml:space="preserve"> + x</t>
    </r>
    <r>
      <rPr>
        <b/>
        <i/>
        <vertAlign val="subscript"/>
        <sz val="12"/>
        <color theme="1"/>
        <rFont val="Times New Roman"/>
        <family val="1"/>
      </rPr>
      <t>0</t>
    </r>
    <r>
      <rPr>
        <b/>
        <i/>
        <sz val="12"/>
        <color theme="1"/>
        <rFont val="Times New Roman"/>
        <family val="1"/>
      </rPr>
      <t xml:space="preserve"> +1) + (−y</t>
    </r>
    <r>
      <rPr>
        <b/>
        <i/>
        <vertAlign val="subscript"/>
        <sz val="12"/>
        <color theme="1"/>
        <rFont val="Times New Roman"/>
        <family val="1"/>
      </rPr>
      <t>0</t>
    </r>
    <r>
      <rPr>
        <b/>
        <i/>
        <sz val="12"/>
        <color theme="1"/>
        <rFont val="Times New Roman"/>
        <family val="1"/>
      </rPr>
      <t xml:space="preserve"> + h (−y</t>
    </r>
    <r>
      <rPr>
        <b/>
        <i/>
        <vertAlign val="subscript"/>
        <sz val="12"/>
        <color theme="1"/>
        <rFont val="Times New Roman"/>
        <family val="1"/>
      </rPr>
      <t>0</t>
    </r>
    <r>
      <rPr>
        <b/>
        <i/>
        <sz val="12"/>
        <color theme="1"/>
        <rFont val="Times New Roman"/>
        <family val="1"/>
      </rPr>
      <t xml:space="preserve"> + x</t>
    </r>
    <r>
      <rPr>
        <b/>
        <i/>
        <vertAlign val="subscript"/>
        <sz val="12"/>
        <color theme="1"/>
        <rFont val="Times New Roman"/>
        <family val="1"/>
      </rPr>
      <t>0</t>
    </r>
    <r>
      <rPr>
        <b/>
        <i/>
        <sz val="12"/>
        <color theme="1"/>
        <rFont val="Times New Roman"/>
        <family val="1"/>
      </rPr>
      <t xml:space="preserve"> +1) + x</t>
    </r>
    <r>
      <rPr>
        <b/>
        <i/>
        <vertAlign val="subscript"/>
        <sz val="12"/>
        <color theme="1"/>
        <rFont val="Times New Roman"/>
        <family val="1"/>
      </rPr>
      <t>1</t>
    </r>
    <r>
      <rPr>
        <b/>
        <i/>
        <sz val="12"/>
        <color theme="1"/>
        <rFont val="Times New Roman"/>
        <family val="1"/>
      </rPr>
      <t xml:space="preserve"> +1 ]=?</t>
    </r>
  </si>
  <si>
    <r>
      <t>y</t>
    </r>
    <r>
      <rPr>
        <b/>
        <vertAlign val="subscript"/>
        <sz val="12"/>
        <color theme="1"/>
        <rFont val="Times New Roman"/>
        <family val="1"/>
      </rPr>
      <t xml:space="preserve">2 </t>
    </r>
    <r>
      <rPr>
        <b/>
        <sz val="12"/>
        <color theme="1"/>
        <rFont val="Times New Roman"/>
        <family val="1"/>
      </rPr>
      <t>=</t>
    </r>
    <r>
      <rPr>
        <b/>
        <i/>
        <sz val="12"/>
        <color theme="1"/>
        <rFont val="Times New Roman"/>
        <family val="1"/>
      </rPr>
      <t>y</t>
    </r>
    <r>
      <rPr>
        <b/>
        <vertAlign val="subscript"/>
        <sz val="12"/>
        <color theme="1"/>
        <rFont val="Times New Roman"/>
        <family val="1"/>
      </rPr>
      <t xml:space="preserve">1 </t>
    </r>
    <r>
      <rPr>
        <b/>
        <sz val="12"/>
        <color theme="1"/>
        <rFont val="Times New Roman"/>
        <family val="1"/>
      </rPr>
      <t xml:space="preserve">+ </t>
    </r>
    <r>
      <rPr>
        <b/>
        <i/>
        <sz val="12"/>
        <color theme="1"/>
        <rFont val="Times New Roman"/>
        <family val="1"/>
      </rPr>
      <t xml:space="preserve">h/2 </t>
    </r>
    <r>
      <rPr>
        <b/>
        <i/>
        <sz val="12"/>
        <color theme="1"/>
        <rFont val="Lucida Sans Unicode"/>
        <family val="2"/>
      </rPr>
      <t xml:space="preserve">⋅ [ </t>
    </r>
    <r>
      <rPr>
        <b/>
        <i/>
        <sz val="12"/>
        <color theme="1"/>
        <rFont val="Times New Roman"/>
        <family val="1"/>
      </rPr>
      <t>(−y</t>
    </r>
    <r>
      <rPr>
        <b/>
        <i/>
        <vertAlign val="subscript"/>
        <sz val="12"/>
        <color theme="1"/>
        <rFont val="Times New Roman"/>
        <family val="1"/>
      </rPr>
      <t>1</t>
    </r>
    <r>
      <rPr>
        <b/>
        <i/>
        <sz val="12"/>
        <color theme="1"/>
        <rFont val="Times New Roman"/>
        <family val="1"/>
      </rPr>
      <t xml:space="preserve"> + x</t>
    </r>
    <r>
      <rPr>
        <b/>
        <i/>
        <vertAlign val="subscript"/>
        <sz val="12"/>
        <color theme="1"/>
        <rFont val="Times New Roman"/>
        <family val="1"/>
      </rPr>
      <t>1</t>
    </r>
    <r>
      <rPr>
        <b/>
        <i/>
        <sz val="12"/>
        <color theme="1"/>
        <rFont val="Times New Roman"/>
        <family val="1"/>
      </rPr>
      <t xml:space="preserve"> +1) + (−y</t>
    </r>
    <r>
      <rPr>
        <b/>
        <i/>
        <vertAlign val="subscript"/>
        <sz val="12"/>
        <color theme="1"/>
        <rFont val="Times New Roman"/>
        <family val="1"/>
      </rPr>
      <t>1</t>
    </r>
    <r>
      <rPr>
        <b/>
        <i/>
        <sz val="12"/>
        <color theme="1"/>
        <rFont val="Times New Roman"/>
        <family val="1"/>
      </rPr>
      <t xml:space="preserve"> + h (−y</t>
    </r>
    <r>
      <rPr>
        <b/>
        <i/>
        <vertAlign val="subscript"/>
        <sz val="12"/>
        <color theme="1"/>
        <rFont val="Times New Roman"/>
        <family val="1"/>
      </rPr>
      <t>1</t>
    </r>
    <r>
      <rPr>
        <b/>
        <i/>
        <sz val="12"/>
        <color theme="1"/>
        <rFont val="Times New Roman"/>
        <family val="1"/>
      </rPr>
      <t xml:space="preserve"> + x</t>
    </r>
    <r>
      <rPr>
        <b/>
        <i/>
        <vertAlign val="subscript"/>
        <sz val="12"/>
        <color theme="1"/>
        <rFont val="Times New Roman"/>
        <family val="1"/>
      </rPr>
      <t>1</t>
    </r>
    <r>
      <rPr>
        <b/>
        <i/>
        <sz val="12"/>
        <color theme="1"/>
        <rFont val="Times New Roman"/>
        <family val="1"/>
      </rPr>
      <t xml:space="preserve"> +1) + x</t>
    </r>
    <r>
      <rPr>
        <b/>
        <i/>
        <vertAlign val="subscript"/>
        <sz val="12"/>
        <color theme="1"/>
        <rFont val="Times New Roman"/>
        <family val="1"/>
      </rPr>
      <t>2</t>
    </r>
    <r>
      <rPr>
        <b/>
        <i/>
        <sz val="12"/>
        <color theme="1"/>
        <rFont val="Times New Roman"/>
        <family val="1"/>
      </rPr>
      <t xml:space="preserve"> +1 ]=?</t>
    </r>
  </si>
  <si>
    <r>
      <t>y</t>
    </r>
    <r>
      <rPr>
        <b/>
        <vertAlign val="subscript"/>
        <sz val="12"/>
        <color theme="1"/>
        <rFont val="Times New Roman"/>
        <family val="1"/>
      </rPr>
      <t xml:space="preserve">2 </t>
    </r>
    <r>
      <rPr>
        <b/>
        <sz val="12"/>
        <color theme="1"/>
        <rFont val="Times New Roman"/>
        <family val="1"/>
      </rPr>
      <t>=</t>
    </r>
    <r>
      <rPr>
        <b/>
        <i/>
        <sz val="12"/>
        <color theme="1"/>
        <rFont val="Times New Roman"/>
        <family val="1"/>
      </rPr>
      <t>1.005</t>
    </r>
    <r>
      <rPr>
        <b/>
        <vertAlign val="subscript"/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+ 0.1</t>
    </r>
    <r>
      <rPr>
        <b/>
        <i/>
        <sz val="12"/>
        <color theme="1"/>
        <rFont val="Times New Roman"/>
        <family val="1"/>
      </rPr>
      <t xml:space="preserve">/2 </t>
    </r>
    <r>
      <rPr>
        <b/>
        <i/>
        <sz val="12"/>
        <color theme="1"/>
        <rFont val="Lucida Sans Unicode"/>
        <family val="2"/>
      </rPr>
      <t xml:space="preserve">⋅ [ </t>
    </r>
    <r>
      <rPr>
        <b/>
        <i/>
        <sz val="12"/>
        <color theme="1"/>
        <rFont val="Times New Roman"/>
        <family val="1"/>
      </rPr>
      <t>(−1.005 + 0.1 +1) + (−1.005 + 0.1 (−1.005 + 0.1 +1) + 0.2 +1 ]= 1.020</t>
    </r>
  </si>
  <si>
    <r>
      <t>y</t>
    </r>
    <r>
      <rPr>
        <b/>
        <vertAlign val="subscript"/>
        <sz val="12"/>
        <color theme="1"/>
        <rFont val="Times New Roman"/>
        <family val="1"/>
      </rPr>
      <t xml:space="preserve">1 </t>
    </r>
    <r>
      <rPr>
        <b/>
        <sz val="12"/>
        <color theme="1"/>
        <rFont val="Times New Roman"/>
        <family val="1"/>
      </rPr>
      <t>=</t>
    </r>
    <r>
      <rPr>
        <b/>
        <i/>
        <sz val="12"/>
        <color theme="1"/>
        <rFont val="Times New Roman"/>
        <family val="1"/>
      </rPr>
      <t>1</t>
    </r>
    <r>
      <rPr>
        <b/>
        <vertAlign val="subscript"/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 xml:space="preserve">+ </t>
    </r>
    <r>
      <rPr>
        <b/>
        <i/>
        <sz val="12"/>
        <color theme="1"/>
        <rFont val="Times New Roman"/>
        <family val="1"/>
      </rPr>
      <t xml:space="preserve">0.1/2 </t>
    </r>
    <r>
      <rPr>
        <b/>
        <i/>
        <sz val="12"/>
        <color theme="1"/>
        <rFont val="Lucida Sans Unicode"/>
        <family val="2"/>
      </rPr>
      <t xml:space="preserve">⋅ [ </t>
    </r>
    <r>
      <rPr>
        <b/>
        <i/>
        <sz val="12"/>
        <color theme="1"/>
        <rFont val="Times New Roman"/>
        <family val="1"/>
      </rPr>
      <t>(−1 + 0 +1) + (−1 + 0.1 (−1 + 0 +1) + 0.1 +1 ]= 1.005</t>
    </r>
  </si>
  <si>
    <r>
      <t>y</t>
    </r>
    <r>
      <rPr>
        <b/>
        <vertAlign val="subscript"/>
        <sz val="12"/>
        <color theme="1"/>
        <rFont val="Times New Roman"/>
        <family val="1"/>
      </rPr>
      <t xml:space="preserve">3 </t>
    </r>
    <r>
      <rPr>
        <b/>
        <sz val="12"/>
        <color theme="1"/>
        <rFont val="Times New Roman"/>
        <family val="1"/>
      </rPr>
      <t>=</t>
    </r>
    <r>
      <rPr>
        <b/>
        <i/>
        <sz val="12"/>
        <color theme="1"/>
        <rFont val="Times New Roman"/>
        <family val="1"/>
      </rPr>
      <t>y</t>
    </r>
    <r>
      <rPr>
        <b/>
        <vertAlign val="subscript"/>
        <sz val="12"/>
        <color theme="1"/>
        <rFont val="Times New Roman"/>
        <family val="1"/>
      </rPr>
      <t xml:space="preserve">2 </t>
    </r>
    <r>
      <rPr>
        <b/>
        <sz val="12"/>
        <color theme="1"/>
        <rFont val="Times New Roman"/>
        <family val="1"/>
      </rPr>
      <t xml:space="preserve">+ </t>
    </r>
    <r>
      <rPr>
        <b/>
        <i/>
        <sz val="12"/>
        <color theme="1"/>
        <rFont val="Times New Roman"/>
        <family val="1"/>
      </rPr>
      <t xml:space="preserve">h/2 </t>
    </r>
    <r>
      <rPr>
        <b/>
        <i/>
        <sz val="12"/>
        <color theme="1"/>
        <rFont val="Lucida Sans Unicode"/>
        <family val="2"/>
      </rPr>
      <t xml:space="preserve">⋅ [ </t>
    </r>
    <r>
      <rPr>
        <b/>
        <i/>
        <sz val="12"/>
        <color theme="1"/>
        <rFont val="Times New Roman"/>
        <family val="1"/>
      </rPr>
      <t>(−y</t>
    </r>
    <r>
      <rPr>
        <b/>
        <i/>
        <vertAlign val="subscript"/>
        <sz val="12"/>
        <color theme="1"/>
        <rFont val="Times New Roman"/>
        <family val="1"/>
      </rPr>
      <t>2</t>
    </r>
    <r>
      <rPr>
        <b/>
        <i/>
        <sz val="12"/>
        <color theme="1"/>
        <rFont val="Times New Roman"/>
        <family val="1"/>
      </rPr>
      <t xml:space="preserve"> + x</t>
    </r>
    <r>
      <rPr>
        <b/>
        <i/>
        <vertAlign val="subscript"/>
        <sz val="12"/>
        <color theme="1"/>
        <rFont val="Times New Roman"/>
        <family val="1"/>
      </rPr>
      <t>2</t>
    </r>
    <r>
      <rPr>
        <b/>
        <i/>
        <sz val="12"/>
        <color theme="1"/>
        <rFont val="Times New Roman"/>
        <family val="1"/>
      </rPr>
      <t xml:space="preserve"> +1) + (−y</t>
    </r>
    <r>
      <rPr>
        <b/>
        <i/>
        <vertAlign val="subscript"/>
        <sz val="12"/>
        <color theme="1"/>
        <rFont val="Times New Roman"/>
        <family val="1"/>
      </rPr>
      <t>2</t>
    </r>
    <r>
      <rPr>
        <b/>
        <i/>
        <sz val="12"/>
        <color theme="1"/>
        <rFont val="Times New Roman"/>
        <family val="1"/>
      </rPr>
      <t xml:space="preserve"> + h (−y</t>
    </r>
    <r>
      <rPr>
        <b/>
        <i/>
        <vertAlign val="subscript"/>
        <sz val="12"/>
        <color theme="1"/>
        <rFont val="Times New Roman"/>
        <family val="1"/>
      </rPr>
      <t>2</t>
    </r>
    <r>
      <rPr>
        <b/>
        <i/>
        <sz val="12"/>
        <color theme="1"/>
        <rFont val="Times New Roman"/>
        <family val="1"/>
      </rPr>
      <t xml:space="preserve"> + x</t>
    </r>
    <r>
      <rPr>
        <b/>
        <i/>
        <vertAlign val="subscript"/>
        <sz val="12"/>
        <color theme="1"/>
        <rFont val="Times New Roman"/>
        <family val="1"/>
      </rPr>
      <t>2</t>
    </r>
    <r>
      <rPr>
        <b/>
        <i/>
        <sz val="12"/>
        <color theme="1"/>
        <rFont val="Times New Roman"/>
        <family val="1"/>
      </rPr>
      <t xml:space="preserve"> +1) + x</t>
    </r>
    <r>
      <rPr>
        <b/>
        <i/>
        <vertAlign val="subscript"/>
        <sz val="12"/>
        <color theme="1"/>
        <rFont val="Times New Roman"/>
        <family val="1"/>
      </rPr>
      <t>2</t>
    </r>
    <r>
      <rPr>
        <b/>
        <i/>
        <sz val="12"/>
        <color theme="1"/>
        <rFont val="Times New Roman"/>
        <family val="1"/>
      </rPr>
      <t xml:space="preserve"> +1 ]=?</t>
    </r>
  </si>
  <si>
    <r>
      <t>y</t>
    </r>
    <r>
      <rPr>
        <b/>
        <vertAlign val="subscript"/>
        <sz val="12"/>
        <color theme="1"/>
        <rFont val="Times New Roman"/>
        <family val="1"/>
      </rPr>
      <t xml:space="preserve">3 </t>
    </r>
    <r>
      <rPr>
        <b/>
        <sz val="12"/>
        <color theme="1"/>
        <rFont val="Times New Roman"/>
        <family val="1"/>
      </rPr>
      <t>=1.020</t>
    </r>
    <r>
      <rPr>
        <b/>
        <vertAlign val="subscript"/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+ 0.1</t>
    </r>
    <r>
      <rPr>
        <b/>
        <i/>
        <sz val="12"/>
        <color theme="1"/>
        <rFont val="Times New Roman"/>
        <family val="1"/>
      </rPr>
      <t xml:space="preserve">/2 </t>
    </r>
    <r>
      <rPr>
        <b/>
        <i/>
        <sz val="12"/>
        <color theme="1"/>
        <rFont val="Lucida Sans Unicode"/>
        <family val="2"/>
      </rPr>
      <t xml:space="preserve">⋅ [ </t>
    </r>
    <r>
      <rPr>
        <b/>
        <i/>
        <sz val="12"/>
        <color theme="1"/>
        <rFont val="Times New Roman"/>
        <family val="1"/>
      </rPr>
      <t>(−1.020 + 0.2 +1) + (−1.020 + 0.1 (−1.020 + 0.2 +1) + 0.2 +1 ]= 1.0439</t>
    </r>
  </si>
  <si>
    <t>h max</t>
  </si>
  <si>
    <t>Ao</t>
  </si>
  <si>
    <t>m</t>
  </si>
  <si>
    <t>m²</t>
  </si>
  <si>
    <t>DATOS</t>
  </si>
  <si>
    <t>PASO p</t>
  </si>
  <si>
    <t>seg</t>
  </si>
  <si>
    <t>t</t>
  </si>
  <si>
    <t>k1</t>
  </si>
  <si>
    <t>k2</t>
  </si>
  <si>
    <t>k3</t>
  </si>
  <si>
    <t>k4</t>
  </si>
  <si>
    <t>h exacta</t>
  </si>
  <si>
    <t>g</t>
  </si>
  <si>
    <t>i</t>
  </si>
  <si>
    <t>rT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</si>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</sst>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"/>
    <numFmt numFmtId="165" formatCode="0.000"/>
    <numFmt numFmtId="166" formatCode="0.0000"/>
    <numFmt numFmtId="167" formatCode="0.00000"/>
    <numFmt numFmtId="168" formatCode="0.0000000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i/>
      <sz val="10"/>
      <color theme="1"/>
      <name val="Times New Roman"/>
      <family val="1"/>
    </font>
    <font>
      <i/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Lucida Sans Unicode"/>
      <family val="2"/>
    </font>
    <font>
      <b/>
      <i/>
      <sz val="12"/>
      <color theme="1"/>
      <name val="Times New Roman"/>
      <family val="1"/>
    </font>
    <font>
      <b/>
      <i/>
      <vertAlign val="subscript"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Lucida Sans Unicode"/>
      <family val="2"/>
    </font>
    <font>
      <b/>
      <sz val="15.5"/>
      <color theme="1"/>
      <name val="Times New Roman"/>
      <family val="1"/>
    </font>
    <font>
      <b/>
      <vertAlign val="subscript"/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Lucida Sans Unicode"/>
      <family val="2"/>
    </font>
    <font>
      <sz val="10"/>
      <color theme="1"/>
      <name val="Arial"/>
      <family val="2"/>
    </font>
    <font>
      <b/>
      <vertAlign val="superscript"/>
      <sz val="12"/>
      <color theme="1"/>
      <name val="Times New Roman"/>
      <family val="1"/>
    </font>
    <font>
      <b/>
      <sz val="16.5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0">
    <xf numFmtId="0" fontId="0" fillId="0" borderId="0" xfId="0"/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0" fontId="0" fillId="0" borderId="5" xfId="0" applyBorder="1"/>
    <xf numFmtId="0" fontId="0" fillId="0" borderId="6" xfId="0" applyBorder="1"/>
    <xf numFmtId="0" fontId="1" fillId="0" borderId="0" xfId="0" applyFont="1" applyAlignment="1">
      <alignment horizont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5" xfId="0" applyBorder="1"/>
    <xf numFmtId="0" fontId="0" fillId="3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4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164" fontId="0" fillId="0" borderId="21" xfId="0" applyNumberFormat="1" applyBorder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/>
    <xf numFmtId="2" fontId="0" fillId="0" borderId="16" xfId="0" applyNumberForma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 applyAlignment="1">
      <alignment horizontal="center"/>
    </xf>
    <xf numFmtId="0" fontId="0" fillId="0" borderId="29" xfId="0" applyBorder="1"/>
    <xf numFmtId="2" fontId="0" fillId="0" borderId="29" xfId="0" applyNumberFormat="1" applyBorder="1"/>
    <xf numFmtId="0" fontId="0" fillId="0" borderId="33" xfId="0" applyBorder="1"/>
    <xf numFmtId="0" fontId="0" fillId="0" borderId="34" xfId="0" applyBorder="1"/>
    <xf numFmtId="0" fontId="0" fillId="0" borderId="35" xfId="0" applyBorder="1" applyAlignment="1">
      <alignment horizontal="center"/>
    </xf>
    <xf numFmtId="0" fontId="0" fillId="0" borderId="36" xfId="0" applyBorder="1"/>
    <xf numFmtId="0" fontId="0" fillId="0" borderId="37" xfId="0" applyBorder="1"/>
    <xf numFmtId="0" fontId="0" fillId="0" borderId="35" xfId="0" applyBorder="1"/>
    <xf numFmtId="0" fontId="0" fillId="0" borderId="3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11" xfId="0" applyNumberFormat="1" applyBorder="1"/>
    <xf numFmtId="2" fontId="0" fillId="0" borderId="12" xfId="0" applyNumberFormat="1" applyBorder="1"/>
    <xf numFmtId="2" fontId="0" fillId="0" borderId="22" xfId="0" applyNumberFormat="1" applyBorder="1"/>
    <xf numFmtId="0" fontId="0" fillId="0" borderId="7" xfId="0" applyBorder="1"/>
    <xf numFmtId="2" fontId="0" fillId="0" borderId="38" xfId="0" applyNumberFormat="1" applyBorder="1"/>
    <xf numFmtId="2" fontId="0" fillId="0" borderId="23" xfId="0" applyNumberFormat="1" applyBorder="1"/>
    <xf numFmtId="2" fontId="0" fillId="0" borderId="0" xfId="0" applyNumberFormat="1"/>
    <xf numFmtId="2" fontId="0" fillId="0" borderId="9" xfId="0" applyNumberFormat="1" applyBorder="1"/>
    <xf numFmtId="2" fontId="0" fillId="0" borderId="6" xfId="0" applyNumberFormat="1" applyBorder="1"/>
    <xf numFmtId="0" fontId="1" fillId="0" borderId="1" xfId="0" applyFont="1" applyBorder="1"/>
    <xf numFmtId="0" fontId="1" fillId="0" borderId="3" xfId="0" applyFont="1" applyBorder="1"/>
    <xf numFmtId="2" fontId="0" fillId="0" borderId="17" xfId="0" applyNumberForma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2" fontId="0" fillId="0" borderId="28" xfId="0" applyNumberFormat="1" applyBorder="1"/>
    <xf numFmtId="2" fontId="0" fillId="0" borderId="24" xfId="0" applyNumberFormat="1" applyBorder="1"/>
    <xf numFmtId="2" fontId="0" fillId="0" borderId="33" xfId="0" applyNumberFormat="1" applyBorder="1"/>
    <xf numFmtId="2" fontId="0" fillId="0" borderId="34" xfId="0" applyNumberFormat="1" applyBorder="1"/>
    <xf numFmtId="2" fontId="0" fillId="0" borderId="21" xfId="0" applyNumberFormat="1" applyBorder="1"/>
    <xf numFmtId="2" fontId="0" fillId="0" borderId="20" xfId="0" applyNumberFormat="1" applyBorder="1"/>
    <xf numFmtId="0" fontId="1" fillId="0" borderId="35" xfId="0" applyFont="1" applyBorder="1"/>
    <xf numFmtId="0" fontId="1" fillId="0" borderId="36" xfId="0" applyFont="1" applyBorder="1"/>
    <xf numFmtId="0" fontId="1" fillId="0" borderId="37" xfId="0" applyFont="1" applyBorder="1"/>
    <xf numFmtId="2" fontId="0" fillId="0" borderId="41" xfId="0" applyNumberFormat="1" applyBorder="1"/>
    <xf numFmtId="2" fontId="0" fillId="0" borderId="42" xfId="0" applyNumberFormat="1" applyBorder="1"/>
    <xf numFmtId="2" fontId="0" fillId="0" borderId="43" xfId="0" applyNumberFormat="1" applyBorder="1"/>
    <xf numFmtId="2" fontId="0" fillId="0" borderId="25" xfId="0" applyNumberFormat="1" applyBorder="1"/>
    <xf numFmtId="2" fontId="0" fillId="0" borderId="27" xfId="0" applyNumberFormat="1" applyBorder="1"/>
    <xf numFmtId="2" fontId="0" fillId="0" borderId="30" xfId="0" applyNumberFormat="1" applyBorder="1"/>
    <xf numFmtId="2" fontId="0" fillId="0" borderId="32" xfId="0" applyNumberFormat="1" applyBorder="1"/>
    <xf numFmtId="2" fontId="0" fillId="0" borderId="26" xfId="0" applyNumberFormat="1" applyBorder="1"/>
    <xf numFmtId="2" fontId="0" fillId="0" borderId="31" xfId="0" applyNumberFormat="1" applyBorder="1"/>
    <xf numFmtId="2" fontId="1" fillId="0" borderId="1" xfId="0" applyNumberFormat="1" applyFont="1" applyBorder="1"/>
    <xf numFmtId="0" fontId="1" fillId="0" borderId="11" xfId="0" applyFont="1" applyBorder="1"/>
    <xf numFmtId="0" fontId="1" fillId="0" borderId="21" xfId="0" applyFont="1" applyBorder="1"/>
    <xf numFmtId="1" fontId="1" fillId="0" borderId="44" xfId="0" applyNumberFormat="1" applyFont="1" applyBorder="1" applyAlignment="1">
      <alignment horizontal="center" vertical="center"/>
    </xf>
    <xf numFmtId="1" fontId="1" fillId="0" borderId="45" xfId="0" applyNumberFormat="1" applyFont="1" applyBorder="1" applyAlignment="1">
      <alignment horizontal="center" vertical="center"/>
    </xf>
    <xf numFmtId="1" fontId="1" fillId="0" borderId="46" xfId="0" applyNumberFormat="1" applyFont="1" applyBorder="1" applyAlignment="1">
      <alignment horizontal="center" vertical="center"/>
    </xf>
    <xf numFmtId="2" fontId="0" fillId="0" borderId="50" xfId="0" applyNumberFormat="1" applyBorder="1"/>
    <xf numFmtId="2" fontId="0" fillId="0" borderId="51" xfId="0" applyNumberFormat="1" applyBorder="1"/>
    <xf numFmtId="165" fontId="0" fillId="0" borderId="0" xfId="0" applyNumberFormat="1"/>
    <xf numFmtId="0" fontId="1" fillId="0" borderId="7" xfId="0" applyFont="1" applyBorder="1"/>
    <xf numFmtId="0" fontId="1" fillId="0" borderId="38" xfId="0" applyFont="1" applyBorder="1"/>
    <xf numFmtId="165" fontId="0" fillId="0" borderId="51" xfId="0" applyNumberFormat="1" applyBorder="1"/>
    <xf numFmtId="165" fontId="0" fillId="0" borderId="54" xfId="0" applyNumberFormat="1" applyBorder="1" applyAlignment="1">
      <alignment horizontal="center"/>
    </xf>
    <xf numFmtId="165" fontId="0" fillId="0" borderId="52" xfId="0" applyNumberFormat="1" applyBorder="1"/>
    <xf numFmtId="165" fontId="0" fillId="0" borderId="30" xfId="0" applyNumberFormat="1" applyBorder="1"/>
    <xf numFmtId="165" fontId="0" fillId="0" borderId="32" xfId="0" applyNumberFormat="1" applyBorder="1"/>
    <xf numFmtId="165" fontId="0" fillId="0" borderId="43" xfId="0" applyNumberFormat="1" applyBorder="1" applyAlignment="1">
      <alignment horizontal="center"/>
    </xf>
    <xf numFmtId="165" fontId="0" fillId="0" borderId="53" xfId="0" applyNumberFormat="1" applyBorder="1"/>
    <xf numFmtId="165" fontId="1" fillId="0" borderId="7" xfId="0" applyNumberFormat="1" applyFont="1" applyBorder="1" applyAlignment="1">
      <alignment horizontal="center"/>
    </xf>
    <xf numFmtId="165" fontId="0" fillId="0" borderId="8" xfId="0" applyNumberFormat="1" applyBorder="1"/>
    <xf numFmtId="165" fontId="1" fillId="0" borderId="8" xfId="0" applyNumberFormat="1" applyFont="1" applyBorder="1" applyAlignment="1">
      <alignment horizontal="center"/>
    </xf>
    <xf numFmtId="165" fontId="1" fillId="0" borderId="9" xfId="0" applyNumberFormat="1" applyFont="1" applyBorder="1" applyAlignment="1">
      <alignment horizontal="center"/>
    </xf>
    <xf numFmtId="165" fontId="0" fillId="0" borderId="10" xfId="0" applyNumberFormat="1" applyBorder="1"/>
    <xf numFmtId="165" fontId="1" fillId="0" borderId="10" xfId="0" applyNumberFormat="1" applyFont="1" applyBorder="1" applyAlignment="1">
      <alignment horizontal="center"/>
    </xf>
    <xf numFmtId="165" fontId="1" fillId="0" borderId="11" xfId="0" applyNumberFormat="1" applyFont="1" applyBorder="1"/>
    <xf numFmtId="165" fontId="1" fillId="0" borderId="8" xfId="0" applyNumberFormat="1" applyFont="1" applyBorder="1"/>
    <xf numFmtId="165" fontId="0" fillId="0" borderId="25" xfId="0" applyNumberFormat="1" applyBorder="1"/>
    <xf numFmtId="165" fontId="0" fillId="0" borderId="27" xfId="0" applyNumberFormat="1" applyBorder="1"/>
    <xf numFmtId="2" fontId="0" fillId="0" borderId="55" xfId="0" applyNumberFormat="1" applyBorder="1"/>
    <xf numFmtId="2" fontId="0" fillId="0" borderId="56" xfId="0" applyNumberFormat="1" applyBorder="1"/>
    <xf numFmtId="165" fontId="0" fillId="0" borderId="14" xfId="0" applyNumberFormat="1" applyBorder="1"/>
    <xf numFmtId="165" fontId="0" fillId="0" borderId="48" xfId="0" applyNumberFormat="1" applyBorder="1"/>
    <xf numFmtId="165" fontId="1" fillId="0" borderId="38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165" fontId="0" fillId="0" borderId="47" xfId="0" applyNumberFormat="1" applyBorder="1"/>
    <xf numFmtId="2" fontId="0" fillId="0" borderId="44" xfId="0" applyNumberFormat="1" applyBorder="1"/>
    <xf numFmtId="2" fontId="0" fillId="0" borderId="45" xfId="0" applyNumberFormat="1" applyBorder="1"/>
    <xf numFmtId="2" fontId="0" fillId="0" borderId="46" xfId="0" applyNumberFormat="1" applyBorder="1"/>
    <xf numFmtId="0" fontId="0" fillId="2" borderId="0" xfId="0" applyFill="1"/>
    <xf numFmtId="0" fontId="0" fillId="3" borderId="0" xfId="0" applyFill="1"/>
    <xf numFmtId="0" fontId="0" fillId="0" borderId="13" xfId="0" applyBorder="1"/>
    <xf numFmtId="1" fontId="0" fillId="0" borderId="5" xfId="0" applyNumberFormat="1" applyBorder="1"/>
    <xf numFmtId="0" fontId="1" fillId="0" borderId="24" xfId="0" applyFont="1" applyBorder="1"/>
    <xf numFmtId="0" fontId="1" fillId="0" borderId="20" xfId="0" applyFont="1" applyBorder="1"/>
    <xf numFmtId="0" fontId="1" fillId="0" borderId="16" xfId="0" applyFont="1" applyBorder="1"/>
    <xf numFmtId="165" fontId="0" fillId="2" borderId="16" xfId="0" applyNumberFormat="1" applyFill="1" applyBorder="1"/>
    <xf numFmtId="165" fontId="0" fillId="0" borderId="16" xfId="0" applyNumberFormat="1" applyBorder="1"/>
    <xf numFmtId="0" fontId="0" fillId="2" borderId="26" xfId="0" applyFill="1" applyBorder="1"/>
    <xf numFmtId="0" fontId="0" fillId="2" borderId="27" xfId="0" applyFill="1" applyBorder="1"/>
    <xf numFmtId="165" fontId="0" fillId="2" borderId="28" xfId="0" applyNumberFormat="1" applyFill="1" applyBorder="1"/>
    <xf numFmtId="165" fontId="0" fillId="2" borderId="29" xfId="0" applyNumberFormat="1" applyFill="1" applyBorder="1"/>
    <xf numFmtId="0" fontId="0" fillId="2" borderId="47" xfId="0" applyFill="1" applyBorder="1"/>
    <xf numFmtId="165" fontId="0" fillId="2" borderId="19" xfId="0" applyNumberFormat="1" applyFill="1" applyBorder="1"/>
    <xf numFmtId="0" fontId="1" fillId="0" borderId="41" xfId="0" applyFont="1" applyBorder="1"/>
    <xf numFmtId="0" fontId="1" fillId="0" borderId="42" xfId="0" applyFont="1" applyBorder="1"/>
    <xf numFmtId="0" fontId="1" fillId="0" borderId="43" xfId="0" applyFont="1" applyBorder="1"/>
    <xf numFmtId="0" fontId="1" fillId="0" borderId="54" xfId="0" applyFont="1" applyBorder="1"/>
    <xf numFmtId="165" fontId="0" fillId="2" borderId="48" xfId="0" applyNumberFormat="1" applyFill="1" applyBorder="1"/>
    <xf numFmtId="165" fontId="0" fillId="0" borderId="31" xfId="0" applyNumberFormat="1" applyBorder="1"/>
    <xf numFmtId="165" fontId="0" fillId="2" borderId="31" xfId="0" applyNumberFormat="1" applyFill="1" applyBorder="1"/>
    <xf numFmtId="165" fontId="0" fillId="2" borderId="32" xfId="0" applyNumberFormat="1" applyFill="1" applyBorder="1"/>
    <xf numFmtId="165" fontId="0" fillId="2" borderId="14" xfId="0" applyNumberFormat="1" applyFill="1" applyBorder="1"/>
    <xf numFmtId="165" fontId="0" fillId="0" borderId="20" xfId="0" applyNumberFormat="1" applyBorder="1"/>
    <xf numFmtId="165" fontId="0" fillId="2" borderId="20" xfId="0" applyNumberFormat="1" applyFill="1" applyBorder="1"/>
    <xf numFmtId="165" fontId="0" fillId="2" borderId="51" xfId="0" applyNumberFormat="1" applyFill="1" applyBorder="1"/>
    <xf numFmtId="0" fontId="1" fillId="0" borderId="21" xfId="0" applyFont="1" applyBorder="1" applyAlignment="1">
      <alignment horizontal="right"/>
    </xf>
    <xf numFmtId="0" fontId="0" fillId="2" borderId="25" xfId="0" applyFill="1" applyBorder="1"/>
    <xf numFmtId="165" fontId="0" fillId="2" borderId="30" xfId="0" applyNumberFormat="1" applyFill="1" applyBorder="1"/>
    <xf numFmtId="165" fontId="0" fillId="2" borderId="50" xfId="0" applyNumberFormat="1" applyFill="1" applyBorder="1"/>
    <xf numFmtId="0" fontId="6" fillId="0" borderId="0" xfId="0" applyFont="1"/>
    <xf numFmtId="0" fontId="0" fillId="0" borderId="0" xfId="0" applyAlignment="1">
      <alignment horizontal="right"/>
    </xf>
    <xf numFmtId="0" fontId="7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0" fillId="0" borderId="3" xfId="0" applyBorder="1"/>
    <xf numFmtId="0" fontId="0" fillId="2" borderId="16" xfId="0" applyFill="1" applyBorder="1"/>
    <xf numFmtId="166" fontId="0" fillId="2" borderId="16" xfId="0" applyNumberFormat="1" applyFill="1" applyBorder="1"/>
    <xf numFmtId="166" fontId="0" fillId="0" borderId="16" xfId="0" applyNumberFormat="1" applyBorder="1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167" fontId="0" fillId="0" borderId="0" xfId="0" applyNumberFormat="1"/>
    <xf numFmtId="168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8" xfId="0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5" fontId="1" fillId="0" borderId="39" xfId="0" applyNumberFormat="1" applyFont="1" applyBorder="1" applyAlignment="1">
      <alignment horizontal="center"/>
    </xf>
    <xf numFmtId="165" fontId="1" fillId="0" borderId="40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1A48B9E-2455-4C8B-AF9B-62435B31C18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CURVAS</a:t>
            </a:r>
            <a:r>
              <a:rPr lang="es-AR" baseline="0"/>
              <a:t> DE AJUSTE EXCEL</a:t>
            </a:r>
            <a:endParaRPr lang="es-AR"/>
          </a:p>
        </c:rich>
      </c:tx>
      <c:layout>
        <c:manualLayout>
          <c:xMode val="edge"/>
          <c:yMode val="edge"/>
          <c:x val="0.43580168677892406"/>
          <c:y val="1.63750250353073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58942772909304697"/>
                  <c:y val="-9.38309811078912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trendline>
            <c:name>m3</c:nam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52100577643848123"/>
                  <c:y val="-6.708275943627445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trendline>
            <c:name>m4</c:name>
            <c:spPr>
              <a:ln w="19050" cap="rnd">
                <a:solidFill>
                  <a:srgbClr val="92D050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-0.48204468575816634"/>
                  <c:y val="7.07241539651136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40452869585875"/>
                  <c:y val="-0.222492328563865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trendline>
            <c:spPr>
              <a:ln w="19050" cap="rnd">
                <a:solidFill>
                  <a:srgbClr val="7030A0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66186331494827022"/>
                  <c:y val="0.32942853460766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trendline>
            <c:spPr>
              <a:ln w="19050" cap="rnd">
                <a:solidFill>
                  <a:srgbClr val="002060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58563740415001686"/>
                  <c:y val="0.443257853264594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'Ajuste de curvas'!$B$3:$B$29</c:f>
              <c:numCache>
                <c:formatCode>0.00</c:formatCode>
                <c:ptCount val="27"/>
                <c:pt idx="0">
                  <c:v>1.29</c:v>
                </c:pt>
                <c:pt idx="1">
                  <c:v>1.38</c:v>
                </c:pt>
                <c:pt idx="2">
                  <c:v>1.5</c:v>
                </c:pt>
                <c:pt idx="3">
                  <c:v>1.51</c:v>
                </c:pt>
                <c:pt idx="4">
                  <c:v>1.53</c:v>
                </c:pt>
                <c:pt idx="5">
                  <c:v>1.57</c:v>
                </c:pt>
                <c:pt idx="6">
                  <c:v>1.61</c:v>
                </c:pt>
                <c:pt idx="7">
                  <c:v>1.9</c:v>
                </c:pt>
                <c:pt idx="8">
                  <c:v>1.93</c:v>
                </c:pt>
                <c:pt idx="9">
                  <c:v>1.96</c:v>
                </c:pt>
                <c:pt idx="10">
                  <c:v>2.0499999999999998</c:v>
                </c:pt>
                <c:pt idx="11">
                  <c:v>2.06</c:v>
                </c:pt>
                <c:pt idx="12">
                  <c:v>2.21</c:v>
                </c:pt>
                <c:pt idx="13">
                  <c:v>2.21</c:v>
                </c:pt>
                <c:pt idx="14">
                  <c:v>2.2799999999999998</c:v>
                </c:pt>
                <c:pt idx="15">
                  <c:v>2.3199999999999998</c:v>
                </c:pt>
                <c:pt idx="16">
                  <c:v>2.35</c:v>
                </c:pt>
                <c:pt idx="17">
                  <c:v>2.35</c:v>
                </c:pt>
                <c:pt idx="18">
                  <c:v>2.37</c:v>
                </c:pt>
                <c:pt idx="19">
                  <c:v>2.37</c:v>
                </c:pt>
                <c:pt idx="20">
                  <c:v>2.38</c:v>
                </c:pt>
                <c:pt idx="21">
                  <c:v>2.38</c:v>
                </c:pt>
                <c:pt idx="22">
                  <c:v>2.39</c:v>
                </c:pt>
                <c:pt idx="23">
                  <c:v>2.4</c:v>
                </c:pt>
                <c:pt idx="24">
                  <c:v>2.4</c:v>
                </c:pt>
                <c:pt idx="25">
                  <c:v>2.46</c:v>
                </c:pt>
                <c:pt idx="26">
                  <c:v>2.46</c:v>
                </c:pt>
              </c:numCache>
            </c:numRef>
          </c:xVal>
          <c:yVal>
            <c:numRef>
              <c:f>'Ajuste de curvas'!$C$3:$C$29</c:f>
              <c:numCache>
                <c:formatCode>0.00</c:formatCode>
                <c:ptCount val="27"/>
                <c:pt idx="0">
                  <c:v>7.0000000000000007E-2</c:v>
                </c:pt>
                <c:pt idx="1">
                  <c:v>0.25</c:v>
                </c:pt>
                <c:pt idx="2">
                  <c:v>1.1200000000000001</c:v>
                </c:pt>
                <c:pt idx="3">
                  <c:v>1.07</c:v>
                </c:pt>
                <c:pt idx="4">
                  <c:v>1.1499999999999999</c:v>
                </c:pt>
                <c:pt idx="5">
                  <c:v>1.36</c:v>
                </c:pt>
                <c:pt idx="6">
                  <c:v>2.0499999999999998</c:v>
                </c:pt>
                <c:pt idx="7">
                  <c:v>7.27</c:v>
                </c:pt>
                <c:pt idx="8">
                  <c:v>7.34</c:v>
                </c:pt>
                <c:pt idx="9">
                  <c:v>8.4600000000000009</c:v>
                </c:pt>
                <c:pt idx="10">
                  <c:v>8.73</c:v>
                </c:pt>
                <c:pt idx="11">
                  <c:v>10.210000000000001</c:v>
                </c:pt>
                <c:pt idx="12">
                  <c:v>11.45</c:v>
                </c:pt>
                <c:pt idx="13">
                  <c:v>14</c:v>
                </c:pt>
                <c:pt idx="14">
                  <c:v>14.96</c:v>
                </c:pt>
                <c:pt idx="15">
                  <c:v>15.99</c:v>
                </c:pt>
                <c:pt idx="16">
                  <c:v>18.170000000000002</c:v>
                </c:pt>
                <c:pt idx="17">
                  <c:v>18.07</c:v>
                </c:pt>
                <c:pt idx="18">
                  <c:v>17.010000000000002</c:v>
                </c:pt>
                <c:pt idx="19">
                  <c:v>17.86</c:v>
                </c:pt>
                <c:pt idx="20">
                  <c:v>17.399999999999999</c:v>
                </c:pt>
                <c:pt idx="21">
                  <c:v>17.53</c:v>
                </c:pt>
                <c:pt idx="22">
                  <c:v>18.79</c:v>
                </c:pt>
                <c:pt idx="23">
                  <c:v>18.07</c:v>
                </c:pt>
                <c:pt idx="24">
                  <c:v>19.309999999999999</c:v>
                </c:pt>
                <c:pt idx="25">
                  <c:v>18.96</c:v>
                </c:pt>
                <c:pt idx="26">
                  <c:v>18.96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B3-4FB0-B44F-092DAFCD8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219120"/>
        <c:axId val="604220560"/>
      </c:scatterChart>
      <c:valAx>
        <c:axId val="60421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04220560"/>
        <c:crosses val="autoZero"/>
        <c:crossBetween val="midCat"/>
      </c:valAx>
      <c:valAx>
        <c:axId val="60422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04219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accent1">
          <a:lumMod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Hidrograma de crecida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'Integración numérica'!$G$1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'Integración numérica'!$B$3:$B$35</c:f>
              <c:numCache>
                <c:formatCode>General</c:formatCode>
                <c:ptCount val="33"/>
                <c:pt idx="0">
                  <c:v>0</c:v>
                </c:pt>
                <c:pt idx="1">
                  <c:v>180</c:v>
                </c:pt>
                <c:pt idx="2">
                  <c:v>360</c:v>
                </c:pt>
                <c:pt idx="3">
                  <c:v>540</c:v>
                </c:pt>
                <c:pt idx="4">
                  <c:v>720</c:v>
                </c:pt>
                <c:pt idx="5">
                  <c:v>900</c:v>
                </c:pt>
                <c:pt idx="6">
                  <c:v>1080</c:v>
                </c:pt>
                <c:pt idx="7">
                  <c:v>1260</c:v>
                </c:pt>
                <c:pt idx="8">
                  <c:v>1440</c:v>
                </c:pt>
                <c:pt idx="9">
                  <c:v>1620</c:v>
                </c:pt>
                <c:pt idx="10">
                  <c:v>1800</c:v>
                </c:pt>
                <c:pt idx="11">
                  <c:v>1980</c:v>
                </c:pt>
                <c:pt idx="12">
                  <c:v>2160</c:v>
                </c:pt>
                <c:pt idx="13">
                  <c:v>2340</c:v>
                </c:pt>
                <c:pt idx="14">
                  <c:v>2520</c:v>
                </c:pt>
                <c:pt idx="15">
                  <c:v>2700</c:v>
                </c:pt>
                <c:pt idx="16">
                  <c:v>2880</c:v>
                </c:pt>
                <c:pt idx="17">
                  <c:v>3060</c:v>
                </c:pt>
                <c:pt idx="18">
                  <c:v>3240</c:v>
                </c:pt>
                <c:pt idx="19">
                  <c:v>3420</c:v>
                </c:pt>
                <c:pt idx="20">
                  <c:v>3600</c:v>
                </c:pt>
                <c:pt idx="21">
                  <c:v>3780</c:v>
                </c:pt>
                <c:pt idx="22">
                  <c:v>3960</c:v>
                </c:pt>
                <c:pt idx="23">
                  <c:v>4140</c:v>
                </c:pt>
                <c:pt idx="24">
                  <c:v>4320</c:v>
                </c:pt>
                <c:pt idx="25">
                  <c:v>4500</c:v>
                </c:pt>
                <c:pt idx="26">
                  <c:v>4680</c:v>
                </c:pt>
                <c:pt idx="27">
                  <c:v>4860</c:v>
                </c:pt>
                <c:pt idx="28">
                  <c:v>5040</c:v>
                </c:pt>
                <c:pt idx="29">
                  <c:v>5220</c:v>
                </c:pt>
                <c:pt idx="30">
                  <c:v>5400</c:v>
                </c:pt>
                <c:pt idx="31">
                  <c:v>5580</c:v>
                </c:pt>
                <c:pt idx="32">
                  <c:v>5760</c:v>
                </c:pt>
              </c:numCache>
            </c:numRef>
          </c:xVal>
          <c:yVal>
            <c:numRef>
              <c:f>'Integración numérica'!$C$3:$C$35</c:f>
              <c:numCache>
                <c:formatCode>General</c:formatCode>
                <c:ptCount val="33"/>
                <c:pt idx="0">
                  <c:v>0</c:v>
                </c:pt>
                <c:pt idx="1">
                  <c:v>8.2799999999999994</c:v>
                </c:pt>
                <c:pt idx="2">
                  <c:v>15.22</c:v>
                </c:pt>
                <c:pt idx="3">
                  <c:v>23.5</c:v>
                </c:pt>
                <c:pt idx="4">
                  <c:v>38</c:v>
                </c:pt>
                <c:pt idx="5">
                  <c:v>50.74</c:v>
                </c:pt>
                <c:pt idx="6">
                  <c:v>91.31</c:v>
                </c:pt>
                <c:pt idx="7">
                  <c:v>113</c:v>
                </c:pt>
                <c:pt idx="8">
                  <c:v>115.82</c:v>
                </c:pt>
                <c:pt idx="9">
                  <c:v>104.87</c:v>
                </c:pt>
                <c:pt idx="10">
                  <c:v>91.49</c:v>
                </c:pt>
                <c:pt idx="11">
                  <c:v>73.37</c:v>
                </c:pt>
                <c:pt idx="12">
                  <c:v>57.5</c:v>
                </c:pt>
                <c:pt idx="13">
                  <c:v>45.86</c:v>
                </c:pt>
                <c:pt idx="14">
                  <c:v>37.76</c:v>
                </c:pt>
                <c:pt idx="15">
                  <c:v>28.69</c:v>
                </c:pt>
                <c:pt idx="16">
                  <c:v>24.01</c:v>
                </c:pt>
                <c:pt idx="17">
                  <c:v>20.329999999999998</c:v>
                </c:pt>
                <c:pt idx="18">
                  <c:v>17.37</c:v>
                </c:pt>
                <c:pt idx="19">
                  <c:v>11.67</c:v>
                </c:pt>
                <c:pt idx="20">
                  <c:v>8.8800000000000008</c:v>
                </c:pt>
                <c:pt idx="21">
                  <c:v>7.38</c:v>
                </c:pt>
                <c:pt idx="22">
                  <c:v>6.34</c:v>
                </c:pt>
                <c:pt idx="23">
                  <c:v>5.4</c:v>
                </c:pt>
                <c:pt idx="24">
                  <c:v>4.6399999999999997</c:v>
                </c:pt>
                <c:pt idx="25">
                  <c:v>3.94</c:v>
                </c:pt>
                <c:pt idx="26">
                  <c:v>3.26</c:v>
                </c:pt>
                <c:pt idx="27">
                  <c:v>2.69</c:v>
                </c:pt>
                <c:pt idx="28">
                  <c:v>2.06</c:v>
                </c:pt>
                <c:pt idx="29">
                  <c:v>1.54</c:v>
                </c:pt>
                <c:pt idx="30">
                  <c:v>1.06</c:v>
                </c:pt>
                <c:pt idx="31">
                  <c:v>0.62</c:v>
                </c:pt>
                <c:pt idx="32">
                  <c:v>0.24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CF-49DB-804D-3F7CFE811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097663"/>
        <c:axId val="1178106783"/>
      </c:scatterChart>
      <c:valAx>
        <c:axId val="117809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Tiempos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78106783"/>
        <c:crosses val="autoZero"/>
        <c:crossBetween val="midCat"/>
      </c:valAx>
      <c:valAx>
        <c:axId val="117810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Caudales [m³/s]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7809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'Derivación numérica'!$B$2:$J$2</c:f>
              <c:numCache>
                <c:formatCode>General</c:formatCode>
                <c:ptCount val="9"/>
                <c:pt idx="0">
                  <c:v>0.5</c:v>
                </c:pt>
                <c:pt idx="1">
                  <c:v>0.75</c:v>
                </c:pt>
                <c:pt idx="2">
                  <c:v>1</c:v>
                </c:pt>
                <c:pt idx="3">
                  <c:v>1.25</c:v>
                </c:pt>
                <c:pt idx="4">
                  <c:v>1.5</c:v>
                </c:pt>
                <c:pt idx="5">
                  <c:v>1.75</c:v>
                </c:pt>
                <c:pt idx="6">
                  <c:v>2</c:v>
                </c:pt>
                <c:pt idx="7">
                  <c:v>2.25</c:v>
                </c:pt>
                <c:pt idx="8">
                  <c:v>2.5</c:v>
                </c:pt>
              </c:numCache>
            </c:numRef>
          </c:xVal>
          <c:yVal>
            <c:numRef>
              <c:f>'Derivación numérica'!$B$3:$J$3</c:f>
              <c:numCache>
                <c:formatCode>0.000</c:formatCode>
                <c:ptCount val="9"/>
                <c:pt idx="0">
                  <c:v>3.2974000000000001</c:v>
                </c:pt>
                <c:pt idx="1">
                  <c:v>2.8227000000000002</c:v>
                </c:pt>
                <c:pt idx="2">
                  <c:v>2.7183000000000002</c:v>
                </c:pt>
                <c:pt idx="3">
                  <c:v>2.7923</c:v>
                </c:pt>
                <c:pt idx="4">
                  <c:v>2.9878</c:v>
                </c:pt>
                <c:pt idx="5">
                  <c:v>3.2883</c:v>
                </c:pt>
                <c:pt idx="6">
                  <c:v>3.6945000000000001</c:v>
                </c:pt>
                <c:pt idx="7">
                  <c:v>4.2168000000000001</c:v>
                </c:pt>
                <c:pt idx="8">
                  <c:v>4.8730000000000002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6C-493A-8179-A6EC0EA6D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3211792"/>
        <c:axId val="1253212272"/>
      </c:scatterChart>
      <c:valAx>
        <c:axId val="125321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53212272"/>
        <c:crosses val="autoZero"/>
        <c:crossBetween val="midCat"/>
      </c:valAx>
      <c:valAx>
        <c:axId val="125321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53211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chart" Target="../charts/chart1.xml"/><Relationship Id="rId1" Type="http://schemas.openxmlformats.org/officeDocument/2006/relationships/image" Target="../media/image7.png"/><Relationship Id="rId6" Type="http://schemas.openxmlformats.org/officeDocument/2006/relationships/image" Target="../media/image11.wmf"/><Relationship Id="rId5" Type="http://schemas.openxmlformats.org/officeDocument/2006/relationships/image" Target="../media/image10.wmf"/><Relationship Id="rId4" Type="http://schemas.openxmlformats.org/officeDocument/2006/relationships/image" Target="../media/image9.w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wmf"/><Relationship Id="rId2" Type="http://schemas.openxmlformats.org/officeDocument/2006/relationships/image" Target="../media/image12.wmf"/><Relationship Id="rId1" Type="http://schemas.openxmlformats.org/officeDocument/2006/relationships/chart" Target="../charts/chart2.xml"/><Relationship Id="rId5" Type="http://schemas.openxmlformats.org/officeDocument/2006/relationships/image" Target="../media/image15.wmf"/><Relationship Id="rId4" Type="http://schemas.openxmlformats.org/officeDocument/2006/relationships/image" Target="../media/image14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576127</xdr:colOff>
      <xdr:row>32</xdr:row>
      <xdr:rowOff>32622</xdr:rowOff>
    </xdr:from>
    <xdr:to>
      <xdr:col>32</xdr:col>
      <xdr:colOff>176261</xdr:colOff>
      <xdr:row>58</xdr:row>
      <xdr:rowOff>48171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33285" y="5994938"/>
          <a:ext cx="7507555" cy="512562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8</xdr:col>
      <xdr:colOff>539838</xdr:colOff>
      <xdr:row>59</xdr:row>
      <xdr:rowOff>41575</xdr:rowOff>
    </xdr:from>
    <xdr:to>
      <xdr:col>22</xdr:col>
      <xdr:colOff>563905</xdr:colOff>
      <xdr:row>84</xdr:row>
      <xdr:rowOff>10944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609227</xdr:colOff>
      <xdr:row>19</xdr:row>
      <xdr:rowOff>29882</xdr:rowOff>
    </xdr:from>
    <xdr:to>
      <xdr:col>22</xdr:col>
      <xdr:colOff>403153</xdr:colOff>
      <xdr:row>23</xdr:row>
      <xdr:rowOff>96787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-333" t="6211" r="333" b="-3576"/>
        <a:stretch>
          <a:fillRect/>
        </a:stretch>
      </xdr:blipFill>
      <xdr:spPr>
        <a:xfrm>
          <a:off x="13488521" y="3645647"/>
          <a:ext cx="2244279" cy="813964"/>
        </a:xfrm>
        <a:prstGeom prst="rect">
          <a:avLst/>
        </a:prstGeom>
        <a:ln w="28575">
          <a:solidFill>
            <a:sysClr val="windowText" lastClr="000000"/>
          </a:solidFill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69850</xdr:colOff>
          <xdr:row>32</xdr:row>
          <xdr:rowOff>412750</xdr:rowOff>
        </xdr:from>
        <xdr:to>
          <xdr:col>12</xdr:col>
          <xdr:colOff>495300</xdr:colOff>
          <xdr:row>35</xdr:row>
          <xdr:rowOff>107950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50800</xdr:colOff>
          <xdr:row>35</xdr:row>
          <xdr:rowOff>133350</xdr:rowOff>
        </xdr:from>
        <xdr:to>
          <xdr:col>13</xdr:col>
          <xdr:colOff>304800</xdr:colOff>
          <xdr:row>37</xdr:row>
          <xdr:rowOff>127000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13</xdr:col>
      <xdr:colOff>369043</xdr:colOff>
      <xdr:row>32</xdr:row>
      <xdr:rowOff>403413</xdr:rowOff>
    </xdr:from>
    <xdr:to>
      <xdr:col>15</xdr:col>
      <xdr:colOff>132319</xdr:colOff>
      <xdr:row>35</xdr:row>
      <xdr:rowOff>37447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53808" y="6469531"/>
          <a:ext cx="1182688" cy="43338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13</xdr:col>
      <xdr:colOff>361462</xdr:colOff>
      <xdr:row>35</xdr:row>
      <xdr:rowOff>52732</xdr:rowOff>
    </xdr:from>
    <xdr:to>
      <xdr:col>15</xdr:col>
      <xdr:colOff>133034</xdr:colOff>
      <xdr:row>37</xdr:row>
      <xdr:rowOff>105119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04385" y="6847232"/>
          <a:ext cx="1186961" cy="42850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13</xdr:col>
      <xdr:colOff>358302</xdr:colOff>
      <xdr:row>37</xdr:row>
      <xdr:rowOff>117473</xdr:rowOff>
    </xdr:from>
    <xdr:to>
      <xdr:col>15</xdr:col>
      <xdr:colOff>133034</xdr:colOff>
      <xdr:row>39</xdr:row>
      <xdr:rowOff>169861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01225" y="7288088"/>
          <a:ext cx="1190121" cy="42850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47</xdr:row>
          <xdr:rowOff>0</xdr:rowOff>
        </xdr:from>
        <xdr:to>
          <xdr:col>13</xdr:col>
          <xdr:colOff>0</xdr:colOff>
          <xdr:row>49</xdr:row>
          <xdr:rowOff>25400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49</xdr:row>
          <xdr:rowOff>50800</xdr:rowOff>
        </xdr:from>
        <xdr:to>
          <xdr:col>15</xdr:col>
          <xdr:colOff>196850</xdr:colOff>
          <xdr:row>51</xdr:row>
          <xdr:rowOff>139700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52</xdr:row>
          <xdr:rowOff>0</xdr:rowOff>
        </xdr:from>
        <xdr:to>
          <xdr:col>13</xdr:col>
          <xdr:colOff>571500</xdr:colOff>
          <xdr:row>54</xdr:row>
          <xdr:rowOff>57150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54</xdr:row>
          <xdr:rowOff>82550</xdr:rowOff>
        </xdr:from>
        <xdr:to>
          <xdr:col>13</xdr:col>
          <xdr:colOff>571500</xdr:colOff>
          <xdr:row>56</xdr:row>
          <xdr:rowOff>133350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5523</xdr:colOff>
      <xdr:row>2</xdr:row>
      <xdr:rowOff>6075</xdr:rowOff>
    </xdr:from>
    <xdr:to>
      <xdr:col>15</xdr:col>
      <xdr:colOff>201544</xdr:colOff>
      <xdr:row>16</xdr:row>
      <xdr:rowOff>82275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11046</xdr:colOff>
      <xdr:row>22</xdr:row>
      <xdr:rowOff>1</xdr:rowOff>
    </xdr:from>
    <xdr:to>
      <xdr:col>15</xdr:col>
      <xdr:colOff>335494</xdr:colOff>
      <xdr:row>27</xdr:row>
      <xdr:rowOff>71241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4583046" y="4163392"/>
          <a:ext cx="7182448" cy="998892"/>
          <a:chOff x="4406302" y="995181"/>
          <a:chExt cx="6420448" cy="998892"/>
        </a:xfrm>
      </xdr:grpSpPr>
      <xdr:pic>
        <xdr:nvPicPr>
          <xdr:cNvPr id="4" name="Imagen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/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919528" y="1013531"/>
            <a:ext cx="1907222" cy="744024"/>
          </a:xfrm>
          <a:prstGeom prst="rect">
            <a:avLst/>
          </a:prstGeom>
          <a:solidFill>
            <a:srgbClr val="FFFF00">
              <a:alpha val="38000"/>
            </a:srgbClr>
          </a:solidFill>
        </xdr:spPr>
      </xdr:pic>
      <xdr:pic>
        <xdr:nvPicPr>
          <xdr:cNvPr id="5" name="Imagen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PicPr/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406302" y="995181"/>
            <a:ext cx="4513225" cy="998892"/>
          </a:xfrm>
          <a:prstGeom prst="rect">
            <a:avLst/>
          </a:prstGeom>
          <a:solidFill>
            <a:schemeClr val="accent3">
              <a:lumMod val="50000"/>
              <a:alpha val="48000"/>
            </a:schemeClr>
          </a:solidFill>
        </xdr:spPr>
      </xdr:pic>
    </xdr:grpSp>
    <xdr:clientData/>
  </xdr:twoCellAnchor>
  <xdr:twoCellAnchor>
    <xdr:from>
      <xdr:col>6</xdr:col>
      <xdr:colOff>10201</xdr:colOff>
      <xdr:row>16</xdr:row>
      <xdr:rowOff>174087</xdr:rowOff>
    </xdr:from>
    <xdr:to>
      <xdr:col>15</xdr:col>
      <xdr:colOff>93870</xdr:colOff>
      <xdr:row>21</xdr:row>
      <xdr:rowOff>33129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4582201" y="3244174"/>
          <a:ext cx="6941669" cy="770129"/>
          <a:chOff x="5513193" y="1013768"/>
          <a:chExt cx="6139057" cy="461666"/>
        </a:xfrm>
      </xdr:grpSpPr>
      <xdr:pic>
        <xdr:nvPicPr>
          <xdr:cNvPr id="7" name="Imagen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513193" y="1013780"/>
            <a:ext cx="3643609" cy="461654"/>
          </a:xfrm>
          <a:prstGeom prst="rect">
            <a:avLst/>
          </a:prstGeom>
          <a:solidFill>
            <a:schemeClr val="accent3">
              <a:lumMod val="50000"/>
              <a:alpha val="48000"/>
            </a:schemeClr>
          </a:solidFill>
        </xdr:spPr>
      </xdr:pic>
      <xdr:pic>
        <xdr:nvPicPr>
          <xdr:cNvPr id="8" name="Imagen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PicPr/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9159530" y="1013768"/>
            <a:ext cx="2492720" cy="461654"/>
          </a:xfrm>
          <a:prstGeom prst="rect">
            <a:avLst/>
          </a:prstGeom>
          <a:solidFill>
            <a:srgbClr val="FFFF00">
              <a:alpha val="38000"/>
            </a:srgbClr>
          </a:solidFill>
        </xdr:spPr>
      </xdr:pic>
    </xdr:grpSp>
    <xdr:clientData/>
  </xdr:twoCellAnchor>
  <xdr:twoCellAnchor>
    <xdr:from>
      <xdr:col>0</xdr:col>
      <xdr:colOff>3865</xdr:colOff>
      <xdr:row>35</xdr:row>
      <xdr:rowOff>6626</xdr:rowOff>
    </xdr:from>
    <xdr:to>
      <xdr:col>5</xdr:col>
      <xdr:colOff>623957</xdr:colOff>
      <xdr:row>40</xdr:row>
      <xdr:rowOff>9939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3865" y="6555409"/>
          <a:ext cx="4430092" cy="914400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cantidad de datos/puntos</a:t>
          </a:r>
          <a:r>
            <a:rPr lang="es-AR" sz="1100" baseline="0"/>
            <a:t> = </a:t>
          </a:r>
          <a:r>
            <a:rPr lang="es-AR" sz="1100"/>
            <a:t>33 puntos.</a:t>
          </a:r>
          <a:r>
            <a:rPr lang="es-AR" sz="1100" baseline="0"/>
            <a:t> Podemos plantear Simpson compuesto:  n° de puntos impares (o segmentos pares).&gt;&gt; 2 segmentos = 3puntos &gt;&gt; 1 parábola (Simpson 1/3)</a:t>
          </a:r>
          <a:endParaRPr lang="es-AR" sz="1100"/>
        </a:p>
        <a:p>
          <a:endParaRPr lang="es-A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498475</xdr:colOff>
      <xdr:row>15</xdr:row>
      <xdr:rowOff>0</xdr:rowOff>
    </xdr:from>
    <xdr:to>
      <xdr:col>17</xdr:col>
      <xdr:colOff>498475</xdr:colOff>
      <xdr:row>30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396875</xdr:colOff>
      <xdr:row>16</xdr:row>
      <xdr:rowOff>63500</xdr:rowOff>
    </xdr:from>
    <xdr:ext cx="809902" cy="4138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SpPr txBox="1"/>
          </xdr:nvSpPr>
          <xdr:spPr>
            <a:xfrm>
              <a:off x="1158875" y="3086100"/>
              <a:ext cx="809902" cy="4138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AR" sz="1400" b="1" i="1">
                        <a:latin typeface="Cambria Math" panose="02040503050406030204" pitchFamily="18" charset="0"/>
                      </a:rPr>
                      <m:t>𝒇</m:t>
                    </m:r>
                    <m:d>
                      <m:dPr>
                        <m:ctrlPr>
                          <a:rPr lang="es-AR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AR" sz="14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</m:d>
                    <m:r>
                      <a:rPr lang="es-AR" sz="14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AR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AR" sz="1400" b="1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AR" sz="1400" b="1" i="1">
                                <a:latin typeface="Cambria Math" panose="02040503050406030204" pitchFamily="18" charset="0"/>
                              </a:rPr>
                              <m:t>𝒆</m:t>
                            </m:r>
                          </m:e>
                          <m:sup>
                            <m:r>
                              <a:rPr lang="es-AR" sz="1400" b="1" i="1">
                                <a:latin typeface="Cambria Math" panose="02040503050406030204" pitchFamily="18" charset="0"/>
                              </a:rPr>
                              <m:t>𝒙</m:t>
                            </m:r>
                          </m:sup>
                        </m:sSup>
                      </m:num>
                      <m:den>
                        <m:r>
                          <a:rPr lang="es-AR" sz="1400" b="1" i="1">
                            <a:latin typeface="Cambria Math" panose="02040503050406030204" pitchFamily="18" charset="0"/>
                          </a:rPr>
                          <m:t>𝒙</m:t>
                        </m:r>
                      </m:den>
                    </m:f>
                  </m:oMath>
                </m:oMathPara>
              </a14:m>
              <a:endParaRPr lang="es-AR" sz="1400" b="1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80AFBE1D-3008-0AB0-B680-392F8FACAC54}"/>
                </a:ext>
              </a:extLst>
            </xdr:cNvPr>
            <xdr:cNvSpPr txBox="1"/>
          </xdr:nvSpPr>
          <xdr:spPr>
            <a:xfrm>
              <a:off x="1158875" y="3086100"/>
              <a:ext cx="809902" cy="4138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AR" sz="1400" b="1" i="0">
                  <a:latin typeface="Cambria Math" panose="02040503050406030204" pitchFamily="18" charset="0"/>
                </a:rPr>
                <a:t>𝒇(𝒙)=𝒆^𝒙/𝒙</a:t>
              </a:r>
              <a:endParaRPr lang="es-AR" sz="1400" b="1"/>
            </a:p>
          </xdr:txBody>
        </xdr:sp>
      </mc:Fallback>
    </mc:AlternateContent>
    <xdr:clientData/>
  </xdr:oneCellAnchor>
  <xdr:oneCellAnchor>
    <xdr:from>
      <xdr:col>1</xdr:col>
      <xdr:colOff>384175</xdr:colOff>
      <xdr:row>19</xdr:row>
      <xdr:rowOff>63500</xdr:rowOff>
    </xdr:from>
    <xdr:ext cx="1476494" cy="4138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 txBox="1"/>
          </xdr:nvSpPr>
          <xdr:spPr>
            <a:xfrm>
              <a:off x="1146175" y="3638550"/>
              <a:ext cx="1476494" cy="4138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AR" sz="1400" b="1" i="1">
                        <a:latin typeface="Cambria Math" panose="02040503050406030204" pitchFamily="18" charset="0"/>
                      </a:rPr>
                      <m:t>𝒇</m:t>
                    </m:r>
                    <m:r>
                      <a:rPr lang="es-AR" sz="1400" b="1" i="1">
                        <a:latin typeface="Cambria Math" panose="02040503050406030204" pitchFamily="18" charset="0"/>
                      </a:rPr>
                      <m:t>′</m:t>
                    </m:r>
                    <m:d>
                      <m:dPr>
                        <m:ctrlPr>
                          <a:rPr lang="es-AR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AR" sz="14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</m:d>
                    <m:r>
                      <a:rPr lang="es-AR" sz="14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AR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AR" sz="1400" b="1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AR" sz="1400" b="1" i="1">
                                <a:latin typeface="Cambria Math" panose="02040503050406030204" pitchFamily="18" charset="0"/>
                              </a:rPr>
                              <m:t>𝒆</m:t>
                            </m:r>
                          </m:e>
                          <m:sup>
                            <m:r>
                              <a:rPr lang="es-AR" sz="1400" b="1" i="1">
                                <a:latin typeface="Cambria Math" panose="02040503050406030204" pitchFamily="18" charset="0"/>
                              </a:rPr>
                              <m:t>𝒙</m:t>
                            </m:r>
                          </m:sup>
                        </m:sSup>
                        <m:r>
                          <a:rPr lang="es-AR" sz="1400" b="1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s-AR" sz="1400" b="1" i="1">
                            <a:latin typeface="Cambria Math" panose="02040503050406030204" pitchFamily="18" charset="0"/>
                          </a:rPr>
                          <m:t>𝒙</m:t>
                        </m:r>
                        <m:r>
                          <a:rPr lang="es-AR" sz="1400" b="1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AR" sz="1400" b="1" i="1"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AR" sz="1400" b="1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p>
                          <m:sSupPr>
                            <m:ctrlPr>
                              <a:rPr lang="es-AR" sz="1400" b="1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AR" sz="1400" b="1" i="1">
                                <a:latin typeface="Cambria Math" panose="02040503050406030204" pitchFamily="18" charset="0"/>
                              </a:rPr>
                              <m:t>𝒙</m:t>
                            </m:r>
                          </m:e>
                          <m:sup>
                            <m:r>
                              <a:rPr lang="es-AR" sz="14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s-AR" sz="1400" b="1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4BFEECEE-CEA9-4234-8841-6C186C0FF54B}"/>
                </a:ext>
              </a:extLst>
            </xdr:cNvPr>
            <xdr:cNvSpPr txBox="1"/>
          </xdr:nvSpPr>
          <xdr:spPr>
            <a:xfrm>
              <a:off x="1146175" y="3638550"/>
              <a:ext cx="1476494" cy="4138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AR" sz="1400" b="1" i="0">
                  <a:latin typeface="Cambria Math" panose="02040503050406030204" pitchFamily="18" charset="0"/>
                </a:rPr>
                <a:t>𝒇′(𝒙)=(𝒆^𝒙 (𝒙−𝟏))/𝒙^𝟐 </a:t>
              </a:r>
              <a:endParaRPr lang="es-AR" sz="1400" b="1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</xdr:colOff>
      <xdr:row>1</xdr:row>
      <xdr:rowOff>31750</xdr:rowOff>
    </xdr:from>
    <xdr:to>
      <xdr:col>5</xdr:col>
      <xdr:colOff>1454150</xdr:colOff>
      <xdr:row>5</xdr:row>
      <xdr:rowOff>6350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2225" y="215900"/>
          <a:ext cx="5661025" cy="711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Dada la ecuación </a:t>
          </a:r>
          <a:r>
            <a:rPr lang="es-E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 =</a:t>
          </a:r>
          <a:r>
            <a:rPr lang="es-E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s-E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E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=−</a:t>
          </a:r>
          <a:r>
            <a:rPr lang="es-E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es-E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+1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en el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intervalo [0; 1]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 el valor inicial </a:t>
          </a:r>
          <a:r>
            <a:rPr lang="es-E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s-E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s-ES" sz="1100" b="1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= y</a:t>
          </a:r>
          <a:r>
            <a:rPr lang="es-ES" sz="1100" b="1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=1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hallar la solución en x=1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utilizando el método de Euler. El paso adoptado es </a:t>
          </a:r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h=0.1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s-A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A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</xdr:colOff>
      <xdr:row>3</xdr:row>
      <xdr:rowOff>50800</xdr:rowOff>
    </xdr:from>
    <xdr:to>
      <xdr:col>8</xdr:col>
      <xdr:colOff>311281</xdr:colOff>
      <xdr:row>7</xdr:row>
      <xdr:rowOff>171498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450" y="603250"/>
          <a:ext cx="2552831" cy="857298"/>
        </a:xfrm>
        <a:prstGeom prst="rect">
          <a:avLst/>
        </a:prstGeom>
        <a:ln w="38100">
          <a:solidFill>
            <a:schemeClr val="accent1"/>
          </a:solidFill>
        </a:ln>
      </xdr:spPr>
    </xdr:pic>
    <xdr:clientData/>
  </xdr:twoCellAnchor>
  <xdr:oneCellAnchor>
    <xdr:from>
      <xdr:col>7</xdr:col>
      <xdr:colOff>146050</xdr:colOff>
      <xdr:row>0</xdr:row>
      <xdr:rowOff>82550</xdr:rowOff>
    </xdr:from>
    <xdr:ext cx="2324100" cy="311496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480050" y="82550"/>
          <a:ext cx="23241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AR" sz="1400" b="1"/>
            <a:t>ECUACIÓN</a:t>
          </a:r>
          <a:r>
            <a:rPr lang="es-AR" sz="1400" baseline="0"/>
            <a:t> </a:t>
          </a:r>
          <a:r>
            <a:rPr lang="es-AR" sz="1400" b="1" baseline="0"/>
            <a:t>DIFERENCIAL</a:t>
          </a:r>
          <a:endParaRPr lang="es-AR" sz="1400" b="1"/>
        </a:p>
      </xdr:txBody>
    </xdr:sp>
    <xdr:clientData/>
  </xdr:oneCellAnchor>
  <xdr:twoCellAnchor editAs="oneCell">
    <xdr:from>
      <xdr:col>8</xdr:col>
      <xdr:colOff>755650</xdr:colOff>
      <xdr:row>3</xdr:row>
      <xdr:rowOff>6350</xdr:rowOff>
    </xdr:from>
    <xdr:to>
      <xdr:col>12</xdr:col>
      <xdr:colOff>362086</xdr:colOff>
      <xdr:row>8</xdr:row>
      <xdr:rowOff>25400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1650" y="558800"/>
          <a:ext cx="2654436" cy="939800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2</xdr:row>
      <xdr:rowOff>31750</xdr:rowOff>
    </xdr:from>
    <xdr:to>
      <xdr:col>16</xdr:col>
      <xdr:colOff>345407</xdr:colOff>
      <xdr:row>20</xdr:row>
      <xdr:rowOff>146050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25050" y="400050"/>
          <a:ext cx="2612357" cy="3429000"/>
        </a:xfrm>
        <a:prstGeom prst="rect">
          <a:avLst/>
        </a:prstGeom>
        <a:ln w="28575">
          <a:solidFill>
            <a:schemeClr val="accent1"/>
          </a:solidFill>
        </a:ln>
      </xdr:spPr>
    </xdr:pic>
    <xdr:clientData/>
  </xdr:twoCellAnchor>
  <xdr:twoCellAnchor editAs="oneCell">
    <xdr:from>
      <xdr:col>9</xdr:col>
      <xdr:colOff>520700</xdr:colOff>
      <xdr:row>9</xdr:row>
      <xdr:rowOff>177800</xdr:rowOff>
    </xdr:from>
    <xdr:to>
      <xdr:col>11</xdr:col>
      <xdr:colOff>596982</xdr:colOff>
      <xdr:row>12</xdr:row>
      <xdr:rowOff>82573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78700" y="1835150"/>
          <a:ext cx="1600282" cy="457223"/>
        </a:xfrm>
        <a:prstGeom prst="rect">
          <a:avLst/>
        </a:prstGeom>
        <a:ln w="28575">
          <a:solidFill>
            <a:schemeClr val="accent1"/>
          </a:solidFill>
        </a:ln>
      </xdr:spPr>
    </xdr:pic>
    <xdr:clientData/>
  </xdr:twoCellAnchor>
  <xdr:twoCellAnchor>
    <xdr:from>
      <xdr:col>8</xdr:col>
      <xdr:colOff>343031</xdr:colOff>
      <xdr:row>5</xdr:row>
      <xdr:rowOff>107950</xdr:rowOff>
    </xdr:from>
    <xdr:to>
      <xdr:col>9</xdr:col>
      <xdr:colOff>25400</xdr:colOff>
      <xdr:row>5</xdr:row>
      <xdr:rowOff>111149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/>
      </xdr:nvCxnSpPr>
      <xdr:spPr>
        <a:xfrm flipV="1">
          <a:off x="6439031" y="1028700"/>
          <a:ext cx="444369" cy="3199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558841</xdr:colOff>
      <xdr:row>8</xdr:row>
      <xdr:rowOff>25400</xdr:rowOff>
    </xdr:from>
    <xdr:to>
      <xdr:col>10</xdr:col>
      <xdr:colOff>558868</xdr:colOff>
      <xdr:row>9</xdr:row>
      <xdr:rowOff>177800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4" idx="2"/>
          <a:endCxn id="6" idx="0"/>
        </xdr:cNvCxnSpPr>
      </xdr:nvCxnSpPr>
      <xdr:spPr>
        <a:xfrm flipH="1">
          <a:off x="8178841" y="1498600"/>
          <a:ext cx="27" cy="33655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31750</xdr:colOff>
      <xdr:row>19</xdr:row>
      <xdr:rowOff>133350</xdr:rowOff>
    </xdr:from>
    <xdr:to>
      <xdr:col>17</xdr:col>
      <xdr:colOff>736871</xdr:colOff>
      <xdr:row>39</xdr:row>
      <xdr:rowOff>114488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13750" y="3632200"/>
          <a:ext cx="5277121" cy="36641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13" Type="http://schemas.openxmlformats.org/officeDocument/2006/relationships/oleObject" Target="../embeddings/oleObject6.bin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3.bin"/><Relationship Id="rId12" Type="http://schemas.openxmlformats.org/officeDocument/2006/relationships/image" Target="../media/image5.emf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11" Type="http://schemas.openxmlformats.org/officeDocument/2006/relationships/oleObject" Target="../embeddings/oleObject5.bin"/><Relationship Id="rId5" Type="http://schemas.openxmlformats.org/officeDocument/2006/relationships/oleObject" Target="../embeddings/oleObject2.bin"/><Relationship Id="rId10" Type="http://schemas.openxmlformats.org/officeDocument/2006/relationships/image" Target="../media/image4.emf"/><Relationship Id="rId4" Type="http://schemas.openxmlformats.org/officeDocument/2006/relationships/image" Target="../media/image1.emf"/><Relationship Id="rId9" Type="http://schemas.openxmlformats.org/officeDocument/2006/relationships/oleObject" Target="../embeddings/oleObject4.bin"/><Relationship Id="rId14" Type="http://schemas.openxmlformats.org/officeDocument/2006/relationships/image" Target="../media/image6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2"/>
  <sheetViews>
    <sheetView zoomScaleNormal="100" workbookViewId="0">
      <selection activeCell="K54" sqref="K54"/>
    </sheetView>
  </sheetViews>
  <sheetFormatPr baseColWidth="10" defaultColWidth="8.7265625" defaultRowHeight="14.5" x14ac:dyDescent="0.35"/>
  <cols>
    <col min="1" max="1" width="12.90625" customWidth="1"/>
    <col min="2" max="2" width="11.81640625" bestFit="1" customWidth="1"/>
    <col min="3" max="3" width="11.1796875" bestFit="1" customWidth="1"/>
    <col min="4" max="4" width="11.81640625" bestFit="1" customWidth="1"/>
    <col min="5" max="5" width="11.54296875" customWidth="1"/>
    <col min="6" max="6" width="12.1796875" bestFit="1" customWidth="1"/>
    <col min="7" max="10" width="10.36328125" customWidth="1"/>
    <col min="15" max="18" width="11.54296875" bestFit="1" customWidth="1"/>
  </cols>
  <sheetData>
    <row r="1" spans="1:27" ht="15" thickBot="1" x14ac:dyDescent="0.4">
      <c r="T1" t="s">
        <v>2</v>
      </c>
      <c r="U1">
        <f>+A29</f>
        <v>27</v>
      </c>
    </row>
    <row r="2" spans="1:27" ht="15" thickBot="1" x14ac:dyDescent="0.4">
      <c r="A2" s="55" t="s">
        <v>52</v>
      </c>
      <c r="B2" s="67" t="s">
        <v>46</v>
      </c>
      <c r="C2" s="69" t="s">
        <v>47</v>
      </c>
      <c r="D2" s="67" t="s">
        <v>3</v>
      </c>
      <c r="E2" s="68" t="s">
        <v>4</v>
      </c>
      <c r="F2" s="68" t="s">
        <v>5</v>
      </c>
      <c r="G2" s="68" t="s">
        <v>6</v>
      </c>
      <c r="H2" s="68" t="s">
        <v>9</v>
      </c>
      <c r="I2" s="68" t="s">
        <v>10</v>
      </c>
      <c r="J2" s="69" t="s">
        <v>11</v>
      </c>
      <c r="K2" s="67" t="s">
        <v>48</v>
      </c>
      <c r="L2" s="68" t="s">
        <v>49</v>
      </c>
      <c r="M2" s="68" t="s">
        <v>50</v>
      </c>
      <c r="N2" s="69" t="s">
        <v>51</v>
      </c>
      <c r="O2" s="58" t="s">
        <v>28</v>
      </c>
      <c r="P2" s="59" t="s">
        <v>27</v>
      </c>
      <c r="Q2" s="59" t="s">
        <v>26</v>
      </c>
      <c r="R2" s="60" t="s">
        <v>25</v>
      </c>
    </row>
    <row r="3" spans="1:27" ht="15" thickBot="1" x14ac:dyDescent="0.4">
      <c r="A3" s="82">
        <v>1</v>
      </c>
      <c r="B3" s="73">
        <v>1.29</v>
      </c>
      <c r="C3" s="74">
        <v>7.0000000000000007E-2</v>
      </c>
      <c r="D3" s="73">
        <f>+$B3^2</f>
        <v>1.6641000000000001</v>
      </c>
      <c r="E3" s="77">
        <f>+$B3^3</f>
        <v>2.1466890000000003</v>
      </c>
      <c r="F3" s="77">
        <f>+$B3^4</f>
        <v>2.7692288100000004</v>
      </c>
      <c r="G3" s="77">
        <f>+$B3^5</f>
        <v>3.5723051649000008</v>
      </c>
      <c r="H3" s="77">
        <f>+$B3^6</f>
        <v>4.6082736627210013</v>
      </c>
      <c r="I3" s="77">
        <f>+$B3^7</f>
        <v>5.9446730249100916</v>
      </c>
      <c r="J3" s="74">
        <f>+$B3^8</f>
        <v>7.6686282021340189</v>
      </c>
      <c r="K3" s="85">
        <f>+B3*C3</f>
        <v>9.0300000000000005E-2</v>
      </c>
      <c r="L3" s="66">
        <f>+D3*C3</f>
        <v>0.11648700000000002</v>
      </c>
      <c r="M3" s="66">
        <f>+E3*C3</f>
        <v>0.15026823000000003</v>
      </c>
      <c r="N3" s="86">
        <f>+F3*N4</f>
        <v>2.5108177805182401</v>
      </c>
      <c r="O3" s="61">
        <f>(C3-($V$16*(B3^4)+$V$15*(B3^3)+$V$14*(B3^2)+$V$13*B3+$V$12))^2</f>
        <v>217.90662338542057</v>
      </c>
      <c r="P3" s="29">
        <f>(C3-($W$15*(B3^3)+$W$14*(B3^2)+$W$13*B3+$W$12))^2</f>
        <v>5.6140672846607845E-5</v>
      </c>
      <c r="Q3" s="29">
        <f>(C3-($X$14*(B3^2)+$X$13*B3+$X$12))^2</f>
        <v>0.27327795485247869</v>
      </c>
      <c r="R3" s="36">
        <f>(C3-($Y$13*B3+$Y$12))^2</f>
        <v>9.2518346670082963</v>
      </c>
      <c r="T3" s="164" t="s">
        <v>8</v>
      </c>
      <c r="U3" s="165"/>
      <c r="V3" s="165"/>
      <c r="W3" s="165"/>
      <c r="X3" s="166"/>
      <c r="Y3" s="44" t="s">
        <v>12</v>
      </c>
      <c r="Z3" s="45" t="s">
        <v>13</v>
      </c>
      <c r="AA3" s="18" t="s">
        <v>14</v>
      </c>
    </row>
    <row r="4" spans="1:27" x14ac:dyDescent="0.35">
      <c r="A4" s="83">
        <v>2</v>
      </c>
      <c r="B4" s="61">
        <v>1.38</v>
      </c>
      <c r="C4" s="36">
        <v>0.25</v>
      </c>
      <c r="D4" s="61">
        <f t="shared" ref="D4:D29" si="0">+$B4^2</f>
        <v>1.9043999999999996</v>
      </c>
      <c r="E4" s="29">
        <f t="shared" ref="E4:E29" si="1">+$B4^3</f>
        <v>2.6280719999999995</v>
      </c>
      <c r="F4" s="29">
        <f t="shared" ref="F4:F29" si="2">+$B4^4</f>
        <v>3.6267393599999989</v>
      </c>
      <c r="G4" s="29">
        <f t="shared" ref="G4:G29" si="3">+$B4^5</f>
        <v>5.0049003167999979</v>
      </c>
      <c r="H4" s="29">
        <f t="shared" ref="H4:H29" si="4">+$B4^6</f>
        <v>6.9067624371839962</v>
      </c>
      <c r="I4" s="29">
        <f t="shared" ref="I4:I29" si="5">+$B4^7</f>
        <v>9.5313321633139161</v>
      </c>
      <c r="J4" s="36">
        <f t="shared" ref="J4:J29" si="6">+$B4^8</f>
        <v>13.153238385373202</v>
      </c>
      <c r="K4" s="61">
        <f t="shared" ref="K4:K29" si="7">+B4*C4</f>
        <v>0.34499999999999997</v>
      </c>
      <c r="L4" s="29">
        <f t="shared" ref="L4:L29" si="8">+D4*C4</f>
        <v>0.47609999999999991</v>
      </c>
      <c r="M4" s="29">
        <f t="shared" ref="M4:M29" si="9">+E4*C4</f>
        <v>0.65701799999999988</v>
      </c>
      <c r="N4" s="86">
        <f t="shared" ref="N4:N26" si="10">+F4*C4</f>
        <v>0.90668483999999971</v>
      </c>
      <c r="O4" s="61">
        <f t="shared" ref="O4:O29" si="11">(C4-($V$16*(B4^4)+$V$15*(B4^3)+$V$14*(B4^2)+$V$13*B4+$V$12))^2</f>
        <v>20.076823423669627</v>
      </c>
      <c r="P4" s="29">
        <f t="shared" ref="P4:P29" si="12">(C4-($W$15*(B4^3)+$W$14*(B4^2)+$W$13*B4+$W$12))^2</f>
        <v>2.0616911522400088E-5</v>
      </c>
      <c r="Q4" s="29">
        <f t="shared" ref="Q4:Q29" si="13">(C4-($X$14*(B4^2)+$X$13*B4+$X$12))^2</f>
        <v>1.6267659030335301E-2</v>
      </c>
      <c r="R4" s="36">
        <f t="shared" ref="R4:R29" si="14">(C4-($Y$13*B4+$Y$12))^2</f>
        <v>2.4067063653718277</v>
      </c>
      <c r="T4" s="49">
        <f>+U1</f>
        <v>27</v>
      </c>
      <c r="U4" s="50">
        <f>+B30</f>
        <v>55.620000000000005</v>
      </c>
      <c r="V4" s="50">
        <f>+D30</f>
        <v>118.41100000000002</v>
      </c>
      <c r="W4" s="50">
        <f>+E30</f>
        <v>258.69542999999999</v>
      </c>
      <c r="X4" s="50">
        <f>+F30</f>
        <v>576.46133709999981</v>
      </c>
      <c r="Y4" s="22" t="s">
        <v>15</v>
      </c>
      <c r="AA4" s="46">
        <f>+C30</f>
        <v>305.6099999999999</v>
      </c>
    </row>
    <row r="5" spans="1:27" x14ac:dyDescent="0.35">
      <c r="A5" s="83">
        <v>3</v>
      </c>
      <c r="B5" s="61">
        <v>1.5</v>
      </c>
      <c r="C5" s="36">
        <v>1.1200000000000001</v>
      </c>
      <c r="D5" s="61">
        <f t="shared" si="0"/>
        <v>2.25</v>
      </c>
      <c r="E5" s="29">
        <f t="shared" si="1"/>
        <v>3.375</v>
      </c>
      <c r="F5" s="29">
        <f t="shared" si="2"/>
        <v>5.0625</v>
      </c>
      <c r="G5" s="29">
        <f t="shared" si="3"/>
        <v>7.59375</v>
      </c>
      <c r="H5" s="29">
        <f t="shared" si="4"/>
        <v>11.390625</v>
      </c>
      <c r="I5" s="29">
        <f t="shared" si="5"/>
        <v>17.0859375</v>
      </c>
      <c r="J5" s="36">
        <f t="shared" si="6"/>
        <v>25.62890625</v>
      </c>
      <c r="K5" s="61">
        <f t="shared" si="7"/>
        <v>1.6800000000000002</v>
      </c>
      <c r="L5" s="29">
        <f t="shared" si="8"/>
        <v>2.5200000000000005</v>
      </c>
      <c r="M5" s="29">
        <f t="shared" si="9"/>
        <v>3.7800000000000002</v>
      </c>
      <c r="N5" s="86">
        <f t="shared" si="10"/>
        <v>5.6700000000000008</v>
      </c>
      <c r="O5" s="61">
        <f t="shared" si="11"/>
        <v>73.38204111286457</v>
      </c>
      <c r="P5" s="29">
        <f t="shared" si="12"/>
        <v>2.4479725625493561E-2</v>
      </c>
      <c r="Q5" s="29">
        <f t="shared" si="13"/>
        <v>8.2773957236636066E-4</v>
      </c>
      <c r="R5" s="36">
        <f t="shared" si="14"/>
        <v>3.7734696833942767E-2</v>
      </c>
      <c r="T5" s="51">
        <f>+B30</f>
        <v>55.620000000000005</v>
      </c>
      <c r="U5" s="52">
        <f>+D30</f>
        <v>118.41100000000002</v>
      </c>
      <c r="V5" s="52">
        <f t="shared" ref="V5:X5" si="15">+E30</f>
        <v>258.69542999999999</v>
      </c>
      <c r="W5" s="52">
        <f t="shared" si="15"/>
        <v>576.46133709999981</v>
      </c>
      <c r="X5" s="52">
        <f t="shared" si="15"/>
        <v>1303.8147773142</v>
      </c>
      <c r="Y5" s="23" t="s">
        <v>16</v>
      </c>
      <c r="AA5" s="47">
        <f>+K30</f>
        <v>700.70880000000011</v>
      </c>
    </row>
    <row r="6" spans="1:27" x14ac:dyDescent="0.35">
      <c r="A6" s="83">
        <v>4</v>
      </c>
      <c r="B6" s="61">
        <v>1.51</v>
      </c>
      <c r="C6" s="36">
        <v>1.07</v>
      </c>
      <c r="D6" s="61">
        <f t="shared" si="0"/>
        <v>2.2801</v>
      </c>
      <c r="E6" s="29">
        <f t="shared" si="1"/>
        <v>3.4429509999999999</v>
      </c>
      <c r="F6" s="29">
        <f t="shared" si="2"/>
        <v>5.1988560100000001</v>
      </c>
      <c r="G6" s="29">
        <f t="shared" si="3"/>
        <v>7.8502725751</v>
      </c>
      <c r="H6" s="29">
        <f t="shared" si="4"/>
        <v>11.853911588401001</v>
      </c>
      <c r="I6" s="29">
        <f t="shared" si="5"/>
        <v>17.899406498485508</v>
      </c>
      <c r="J6" s="36">
        <f t="shared" si="6"/>
        <v>27.02810381271312</v>
      </c>
      <c r="K6" s="61">
        <f t="shared" si="7"/>
        <v>1.6157000000000001</v>
      </c>
      <c r="L6" s="29">
        <f t="shared" si="8"/>
        <v>2.4397070000000003</v>
      </c>
      <c r="M6" s="29">
        <f t="shared" si="9"/>
        <v>3.68395757</v>
      </c>
      <c r="N6" s="86">
        <f t="shared" si="10"/>
        <v>5.5627759307</v>
      </c>
      <c r="O6" s="61">
        <f t="shared" si="11"/>
        <v>64.893574933368939</v>
      </c>
      <c r="P6" s="29">
        <f t="shared" si="12"/>
        <v>5.2198430444085216E-4</v>
      </c>
      <c r="Q6" s="29">
        <f t="shared" si="13"/>
        <v>3.156893667337797E-2</v>
      </c>
      <c r="R6" s="36">
        <f t="shared" si="14"/>
        <v>1.7088000061347929E-3</v>
      </c>
      <c r="T6" s="51">
        <f>+D30</f>
        <v>118.41100000000002</v>
      </c>
      <c r="U6" s="52">
        <f t="shared" ref="U6:X6" si="16">+E30</f>
        <v>258.69542999999999</v>
      </c>
      <c r="V6" s="52">
        <f t="shared" si="16"/>
        <v>576.46133709999981</v>
      </c>
      <c r="W6" s="52">
        <f t="shared" si="16"/>
        <v>1303.8147773142</v>
      </c>
      <c r="X6" s="52">
        <f t="shared" si="16"/>
        <v>2982.0481054420306</v>
      </c>
      <c r="Y6" s="23" t="s">
        <v>17</v>
      </c>
      <c r="AA6" s="47">
        <f>+L30</f>
        <v>1617.1137920000001</v>
      </c>
    </row>
    <row r="7" spans="1:27" x14ac:dyDescent="0.35">
      <c r="A7" s="83">
        <v>5</v>
      </c>
      <c r="B7" s="61">
        <v>1.53</v>
      </c>
      <c r="C7" s="36">
        <v>1.1499999999999999</v>
      </c>
      <c r="D7" s="61">
        <f t="shared" si="0"/>
        <v>2.3409</v>
      </c>
      <c r="E7" s="29">
        <f t="shared" si="1"/>
        <v>3.5815770000000002</v>
      </c>
      <c r="F7" s="29">
        <f t="shared" si="2"/>
        <v>5.4798128100000003</v>
      </c>
      <c r="G7" s="29">
        <f t="shared" si="3"/>
        <v>8.3841135993000009</v>
      </c>
      <c r="H7" s="29">
        <f t="shared" si="4"/>
        <v>12.827693806929</v>
      </c>
      <c r="I7" s="29">
        <f t="shared" si="5"/>
        <v>19.626371524601371</v>
      </c>
      <c r="J7" s="36">
        <f t="shared" si="6"/>
        <v>30.028348432640101</v>
      </c>
      <c r="K7" s="61">
        <f t="shared" si="7"/>
        <v>1.7594999999999998</v>
      </c>
      <c r="L7" s="29">
        <f t="shared" si="8"/>
        <v>2.6920349999999997</v>
      </c>
      <c r="M7" s="29">
        <f t="shared" si="9"/>
        <v>4.1188135499999996</v>
      </c>
      <c r="N7" s="86">
        <f t="shared" si="10"/>
        <v>6.3017847314999997</v>
      </c>
      <c r="O7" s="61">
        <f t="shared" si="11"/>
        <v>48.885641782479922</v>
      </c>
      <c r="P7" s="29">
        <f t="shared" si="12"/>
        <v>5.5966344584278864E-3</v>
      </c>
      <c r="Q7" s="29">
        <f t="shared" si="13"/>
        <v>9.1001067611103437E-2</v>
      </c>
      <c r="R7" s="36">
        <f t="shared" si="14"/>
        <v>0.11057042575770086</v>
      </c>
      <c r="T7" s="51">
        <f>+E30</f>
        <v>258.69542999999999</v>
      </c>
      <c r="U7" s="52">
        <f t="shared" ref="U7:X7" si="17">+F30</f>
        <v>576.46133709999981</v>
      </c>
      <c r="V7" s="52">
        <f t="shared" si="17"/>
        <v>1303.8147773142</v>
      </c>
      <c r="W7" s="52">
        <f t="shared" si="17"/>
        <v>2982.0481054420306</v>
      </c>
      <c r="X7" s="52">
        <f t="shared" si="17"/>
        <v>6878.2672046318266</v>
      </c>
      <c r="Y7" s="23" t="s">
        <v>18</v>
      </c>
      <c r="AA7" s="47">
        <f>+M30</f>
        <v>3751.8731683200003</v>
      </c>
    </row>
    <row r="8" spans="1:27" ht="15" thickBot="1" x14ac:dyDescent="0.4">
      <c r="A8" s="83">
        <v>6</v>
      </c>
      <c r="B8" s="61">
        <v>1.57</v>
      </c>
      <c r="C8" s="36">
        <v>1.36</v>
      </c>
      <c r="D8" s="61">
        <f t="shared" si="0"/>
        <v>2.4649000000000001</v>
      </c>
      <c r="E8" s="29">
        <f t="shared" si="1"/>
        <v>3.8698930000000002</v>
      </c>
      <c r="F8" s="29">
        <f t="shared" si="2"/>
        <v>6.0757320100000003</v>
      </c>
      <c r="G8" s="29">
        <f t="shared" si="3"/>
        <v>9.5388992557000005</v>
      </c>
      <c r="H8" s="29">
        <f t="shared" si="4"/>
        <v>14.976071831449001</v>
      </c>
      <c r="I8" s="29">
        <f t="shared" si="5"/>
        <v>23.512432775374933</v>
      </c>
      <c r="J8" s="36">
        <f t="shared" si="6"/>
        <v>36.914519457338642</v>
      </c>
      <c r="K8" s="61">
        <f t="shared" si="7"/>
        <v>2.1352000000000002</v>
      </c>
      <c r="L8" s="29">
        <f t="shared" si="8"/>
        <v>3.3522640000000004</v>
      </c>
      <c r="M8" s="29">
        <f t="shared" si="9"/>
        <v>5.263054480000001</v>
      </c>
      <c r="N8" s="86">
        <f t="shared" si="10"/>
        <v>8.2629955336000016</v>
      </c>
      <c r="O8" s="61">
        <f t="shared" si="11"/>
        <v>17.73419968388194</v>
      </c>
      <c r="P8" s="29">
        <f t="shared" si="12"/>
        <v>6.8039312811085981E-2</v>
      </c>
      <c r="Q8" s="29">
        <f t="shared" si="13"/>
        <v>0.27493202782250598</v>
      </c>
      <c r="R8" s="36">
        <f t="shared" si="14"/>
        <v>0.74803242917040302</v>
      </c>
      <c r="T8" s="53">
        <f>+F30</f>
        <v>576.46133709999981</v>
      </c>
      <c r="U8" s="54">
        <f t="shared" ref="U8:X8" si="18">+G30</f>
        <v>1303.8147773142</v>
      </c>
      <c r="V8" s="54">
        <f t="shared" si="18"/>
        <v>2982.0481054420306</v>
      </c>
      <c r="W8" s="54">
        <f t="shared" si="18"/>
        <v>6878.2672046318266</v>
      </c>
      <c r="X8" s="54">
        <f t="shared" si="18"/>
        <v>15967.894466599326</v>
      </c>
      <c r="Y8" s="24" t="s">
        <v>19</v>
      </c>
      <c r="AA8" s="48">
        <f>+N30</f>
        <v>8745.1547466310185</v>
      </c>
    </row>
    <row r="9" spans="1:27" ht="15" thickBot="1" x14ac:dyDescent="0.4">
      <c r="A9" s="83">
        <v>7</v>
      </c>
      <c r="B9" s="61">
        <v>1.61</v>
      </c>
      <c r="C9" s="36">
        <v>2.0499999999999998</v>
      </c>
      <c r="D9" s="61">
        <f t="shared" si="0"/>
        <v>2.5921000000000003</v>
      </c>
      <c r="E9" s="29">
        <f t="shared" si="1"/>
        <v>4.1732810000000011</v>
      </c>
      <c r="F9" s="29">
        <f t="shared" si="2"/>
        <v>6.7189824100000015</v>
      </c>
      <c r="G9" s="29">
        <f t="shared" si="3"/>
        <v>10.817561680100003</v>
      </c>
      <c r="H9" s="29">
        <f t="shared" si="4"/>
        <v>17.416274304961007</v>
      </c>
      <c r="I9" s="29">
        <f t="shared" si="5"/>
        <v>28.040201630987223</v>
      </c>
      <c r="J9" s="36">
        <f t="shared" si="6"/>
        <v>45.144724625889431</v>
      </c>
      <c r="K9" s="61">
        <f t="shared" si="7"/>
        <v>3.3005</v>
      </c>
      <c r="L9" s="29">
        <f t="shared" si="8"/>
        <v>5.3138050000000003</v>
      </c>
      <c r="M9" s="29">
        <f t="shared" si="9"/>
        <v>8.5552260500000017</v>
      </c>
      <c r="N9" s="86">
        <f t="shared" si="10"/>
        <v>13.773913940500002</v>
      </c>
      <c r="O9" s="61">
        <f t="shared" si="11"/>
        <v>1.6930002960658463</v>
      </c>
      <c r="P9" s="29">
        <f t="shared" si="12"/>
        <v>3.703512357246117E-4</v>
      </c>
      <c r="Q9" s="29">
        <f t="shared" si="13"/>
        <v>8.9970119504680091E-2</v>
      </c>
      <c r="R9" s="36">
        <f t="shared" si="14"/>
        <v>0.84135865060631698</v>
      </c>
    </row>
    <row r="10" spans="1:27" ht="15" thickBot="1" x14ac:dyDescent="0.4">
      <c r="A10" s="83">
        <v>8</v>
      </c>
      <c r="B10" s="61">
        <v>1.9</v>
      </c>
      <c r="C10" s="36">
        <v>7.27</v>
      </c>
      <c r="D10" s="61">
        <f t="shared" si="0"/>
        <v>3.61</v>
      </c>
      <c r="E10" s="29">
        <f t="shared" si="1"/>
        <v>6.8589999999999991</v>
      </c>
      <c r="F10" s="29">
        <f t="shared" si="2"/>
        <v>13.0321</v>
      </c>
      <c r="G10" s="29">
        <f t="shared" si="3"/>
        <v>24.76099</v>
      </c>
      <c r="H10" s="29">
        <f t="shared" si="4"/>
        <v>47.045880999999994</v>
      </c>
      <c r="I10" s="29">
        <f t="shared" si="5"/>
        <v>89.387173899999993</v>
      </c>
      <c r="J10" s="36">
        <f t="shared" si="6"/>
        <v>169.83563040999999</v>
      </c>
      <c r="K10" s="61">
        <f t="shared" si="7"/>
        <v>13.812999999999999</v>
      </c>
      <c r="L10" s="29">
        <f t="shared" si="8"/>
        <v>26.244699999999998</v>
      </c>
      <c r="M10" s="29">
        <f t="shared" si="9"/>
        <v>49.864929999999994</v>
      </c>
      <c r="N10" s="86">
        <f t="shared" si="10"/>
        <v>94.743366999999992</v>
      </c>
      <c r="O10" s="61">
        <f t="shared" si="11"/>
        <v>158.15172453562201</v>
      </c>
      <c r="P10" s="29">
        <f t="shared" si="12"/>
        <v>0.35565098030236797</v>
      </c>
      <c r="Q10" s="29">
        <f t="shared" si="13"/>
        <v>0.31294689198405196</v>
      </c>
      <c r="R10" s="36">
        <f t="shared" si="14"/>
        <v>1.165146312330759</v>
      </c>
      <c r="U10" s="42"/>
      <c r="V10" s="40" t="s">
        <v>20</v>
      </c>
      <c r="W10" s="40" t="s">
        <v>21</v>
      </c>
      <c r="X10" s="40" t="s">
        <v>22</v>
      </c>
      <c r="Y10" s="43" t="s">
        <v>24</v>
      </c>
    </row>
    <row r="11" spans="1:27" x14ac:dyDescent="0.35">
      <c r="A11" s="83">
        <v>9</v>
      </c>
      <c r="B11" s="61">
        <v>1.93</v>
      </c>
      <c r="C11" s="36">
        <v>7.34</v>
      </c>
      <c r="D11" s="61">
        <f t="shared" si="0"/>
        <v>3.7248999999999999</v>
      </c>
      <c r="E11" s="29">
        <f t="shared" si="1"/>
        <v>7.1890569999999991</v>
      </c>
      <c r="F11" s="29">
        <f t="shared" si="2"/>
        <v>13.874880009999998</v>
      </c>
      <c r="G11" s="29">
        <f t="shared" si="3"/>
        <v>26.778518419299996</v>
      </c>
      <c r="H11" s="29">
        <f t="shared" si="4"/>
        <v>51.682540549248991</v>
      </c>
      <c r="I11" s="29">
        <f t="shared" si="5"/>
        <v>99.747303260050543</v>
      </c>
      <c r="J11" s="36">
        <f t="shared" si="6"/>
        <v>192.51229529189754</v>
      </c>
      <c r="K11" s="61">
        <f t="shared" si="7"/>
        <v>14.1662</v>
      </c>
      <c r="L11" s="29">
        <f t="shared" si="8"/>
        <v>27.340765999999999</v>
      </c>
      <c r="M11" s="29">
        <f t="shared" si="9"/>
        <v>52.767678379999992</v>
      </c>
      <c r="N11" s="86">
        <f t="shared" si="10"/>
        <v>101.84161927339998</v>
      </c>
      <c r="O11" s="61">
        <f t="shared" si="11"/>
        <v>154.32639866235229</v>
      </c>
      <c r="P11" s="29">
        <f t="shared" si="12"/>
        <v>5.6297274000255623E-3</v>
      </c>
      <c r="Q11" s="29">
        <f t="shared" si="13"/>
        <v>6.3221834102504615E-3</v>
      </c>
      <c r="R11" s="36">
        <f t="shared" si="14"/>
        <v>2.4529666401260388</v>
      </c>
      <c r="T11" s="25" t="s">
        <v>12</v>
      </c>
      <c r="U11" s="31"/>
      <c r="V11" s="32"/>
      <c r="W11" s="32"/>
      <c r="X11" s="32"/>
      <c r="Y11" s="33"/>
    </row>
    <row r="12" spans="1:27" x14ac:dyDescent="0.35">
      <c r="A12" s="83">
        <v>10</v>
      </c>
      <c r="B12" s="61">
        <v>1.96</v>
      </c>
      <c r="C12" s="36">
        <v>8.4600000000000009</v>
      </c>
      <c r="D12" s="61">
        <f t="shared" si="0"/>
        <v>3.8415999999999997</v>
      </c>
      <c r="E12" s="29">
        <f t="shared" si="1"/>
        <v>7.5295359999999993</v>
      </c>
      <c r="F12" s="29">
        <f t="shared" si="2"/>
        <v>14.757890559999998</v>
      </c>
      <c r="G12" s="29">
        <f t="shared" si="3"/>
        <v>28.925465497599994</v>
      </c>
      <c r="H12" s="29">
        <f t="shared" si="4"/>
        <v>56.693912375295987</v>
      </c>
      <c r="I12" s="29">
        <f t="shared" si="5"/>
        <v>111.12006825558014</v>
      </c>
      <c r="J12" s="36">
        <f t="shared" si="6"/>
        <v>217.79533378093706</v>
      </c>
      <c r="K12" s="61">
        <f t="shared" si="7"/>
        <v>16.581600000000002</v>
      </c>
      <c r="L12" s="29">
        <f t="shared" si="8"/>
        <v>32.499935999999998</v>
      </c>
      <c r="M12" s="29">
        <f t="shared" si="9"/>
        <v>63.699874559999998</v>
      </c>
      <c r="N12" s="86">
        <f t="shared" si="10"/>
        <v>124.8517541376</v>
      </c>
      <c r="O12" s="61">
        <f t="shared" si="11"/>
        <v>116.27856409127504</v>
      </c>
      <c r="P12" s="29">
        <f t="shared" si="12"/>
        <v>0.34329766753628815</v>
      </c>
      <c r="Q12" s="29">
        <f t="shared" si="13"/>
        <v>0.39826439747017722</v>
      </c>
      <c r="R12" s="36">
        <f t="shared" si="14"/>
        <v>1.0059497816577299</v>
      </c>
      <c r="T12" s="26" t="s">
        <v>15</v>
      </c>
      <c r="U12" s="34" t="s">
        <v>13</v>
      </c>
      <c r="V12" s="28" cm="1">
        <f t="array" ref="V12:V16">+MMULT(MINVERSE(T4:X8),AA4:AA8)</f>
        <v>8973.3862766325474</v>
      </c>
      <c r="W12" s="28" cm="1">
        <f t="array" ref="W12:W15">+MMULT(MINVERSE(T4:W7),AA4:AA7)</f>
        <v>48.613300256547518</v>
      </c>
      <c r="X12" s="28" cm="1">
        <f t="array" ref="X12:X14">+MMULT(MINVERSE(T4:V6),AA4:AA6)</f>
        <v>9.6245323951116006</v>
      </c>
      <c r="Y12" s="35" cm="1">
        <f t="array" ref="Y12:Y13">+MMULT(MINVERSE(T4:U5),AA4:AA5)</f>
        <v>-26.913030355724914</v>
      </c>
    </row>
    <row r="13" spans="1:27" x14ac:dyDescent="0.35">
      <c r="A13" s="83">
        <v>11</v>
      </c>
      <c r="B13" s="61">
        <v>2.0499999999999998</v>
      </c>
      <c r="C13" s="36">
        <v>8.73</v>
      </c>
      <c r="D13" s="61">
        <f t="shared" si="0"/>
        <v>4.2024999999999997</v>
      </c>
      <c r="E13" s="29">
        <f t="shared" si="1"/>
        <v>8.615124999999999</v>
      </c>
      <c r="F13" s="29">
        <f t="shared" si="2"/>
        <v>17.661006249999996</v>
      </c>
      <c r="G13" s="29">
        <f t="shared" si="3"/>
        <v>36.205062812499989</v>
      </c>
      <c r="H13" s="29">
        <f t="shared" si="4"/>
        <v>74.220378765624972</v>
      </c>
      <c r="I13" s="29">
        <f t="shared" si="5"/>
        <v>152.1517764695312</v>
      </c>
      <c r="J13" s="36">
        <f t="shared" si="6"/>
        <v>311.91114176253893</v>
      </c>
      <c r="K13" s="61">
        <f t="shared" si="7"/>
        <v>17.8965</v>
      </c>
      <c r="L13" s="29">
        <f t="shared" si="8"/>
        <v>36.687824999999997</v>
      </c>
      <c r="M13" s="29">
        <f t="shared" si="9"/>
        <v>75.210041249999989</v>
      </c>
      <c r="N13" s="86">
        <f t="shared" si="10"/>
        <v>154.18058456249997</v>
      </c>
      <c r="O13" s="61">
        <f t="shared" si="11"/>
        <v>45.910828634251452</v>
      </c>
      <c r="P13" s="29">
        <f t="shared" si="12"/>
        <v>1.1414651160800751</v>
      </c>
      <c r="Q13" s="29">
        <f t="shared" si="13"/>
        <v>0.83789077392319677</v>
      </c>
      <c r="R13" s="36">
        <f t="shared" si="14"/>
        <v>5.7758367004241613</v>
      </c>
      <c r="T13" s="26" t="s">
        <v>16</v>
      </c>
      <c r="U13" s="34" t="s">
        <v>13</v>
      </c>
      <c r="V13" s="28">
        <v>-20120.049039110541</v>
      </c>
      <c r="W13" s="28">
        <v>-85.231399755226448</v>
      </c>
      <c r="X13" s="28">
        <v>-21.088697732593573</v>
      </c>
      <c r="Y13" s="36">
        <v>18.559184099327126</v>
      </c>
    </row>
    <row r="14" spans="1:27" x14ac:dyDescent="0.35">
      <c r="A14" s="83">
        <v>12</v>
      </c>
      <c r="B14" s="61">
        <v>2.06</v>
      </c>
      <c r="C14" s="36">
        <v>10.210000000000001</v>
      </c>
      <c r="D14" s="61">
        <f t="shared" si="0"/>
        <v>4.2435999999999998</v>
      </c>
      <c r="E14" s="29">
        <f t="shared" si="1"/>
        <v>8.741816</v>
      </c>
      <c r="F14" s="29">
        <f t="shared" si="2"/>
        <v>18.008140959999999</v>
      </c>
      <c r="G14" s="29">
        <f t="shared" si="3"/>
        <v>37.096770377599995</v>
      </c>
      <c r="H14" s="29">
        <f t="shared" si="4"/>
        <v>76.419346977855994</v>
      </c>
      <c r="I14" s="29">
        <f t="shared" si="5"/>
        <v>157.42385477438336</v>
      </c>
      <c r="J14" s="36">
        <f t="shared" si="6"/>
        <v>324.29314083522968</v>
      </c>
      <c r="K14" s="61">
        <f t="shared" si="7"/>
        <v>21.032600000000002</v>
      </c>
      <c r="L14" s="29">
        <f t="shared" si="8"/>
        <v>43.327156000000002</v>
      </c>
      <c r="M14" s="29">
        <f t="shared" si="9"/>
        <v>89.253941360000013</v>
      </c>
      <c r="N14" s="86">
        <f t="shared" si="10"/>
        <v>183.8631192016</v>
      </c>
      <c r="O14" s="61">
        <f t="shared" si="11"/>
        <v>22.379751989930142</v>
      </c>
      <c r="P14" s="29">
        <f t="shared" si="12"/>
        <v>3.5946916815264553E-2</v>
      </c>
      <c r="Q14" s="29">
        <f t="shared" si="13"/>
        <v>0.12426812164751404</v>
      </c>
      <c r="R14" s="36">
        <f t="shared" si="14"/>
        <v>1.2296345679014142</v>
      </c>
      <c r="T14" s="26" t="s">
        <v>17</v>
      </c>
      <c r="U14" s="34" t="s">
        <v>13</v>
      </c>
      <c r="V14" s="28">
        <v>16624.969729170203</v>
      </c>
      <c r="W14" s="28">
        <v>44.651760407607071</v>
      </c>
      <c r="X14" s="28">
        <v>10.2921265188088</v>
      </c>
      <c r="Y14" s="36"/>
    </row>
    <row r="15" spans="1:27" x14ac:dyDescent="0.35">
      <c r="A15" s="83">
        <v>13</v>
      </c>
      <c r="B15" s="61">
        <v>2.21</v>
      </c>
      <c r="C15" s="36">
        <v>11.45</v>
      </c>
      <c r="D15" s="61">
        <f t="shared" si="0"/>
        <v>4.8841000000000001</v>
      </c>
      <c r="E15" s="29">
        <f t="shared" si="1"/>
        <v>10.793861</v>
      </c>
      <c r="F15" s="29">
        <f t="shared" si="2"/>
        <v>23.854432810000002</v>
      </c>
      <c r="G15" s="29">
        <f t="shared" si="3"/>
        <v>52.718296510100004</v>
      </c>
      <c r="H15" s="29">
        <f t="shared" si="4"/>
        <v>116.50743528732102</v>
      </c>
      <c r="I15" s="29">
        <f t="shared" si="5"/>
        <v>257.48143198497945</v>
      </c>
      <c r="J15" s="36">
        <f t="shared" si="6"/>
        <v>569.03396468680455</v>
      </c>
      <c r="K15" s="61">
        <f t="shared" si="7"/>
        <v>25.304499999999997</v>
      </c>
      <c r="L15" s="29">
        <f t="shared" si="8"/>
        <v>55.922944999999999</v>
      </c>
      <c r="M15" s="29">
        <f t="shared" si="9"/>
        <v>123.58970844999999</v>
      </c>
      <c r="N15" s="86">
        <f t="shared" si="10"/>
        <v>273.13325567449999</v>
      </c>
      <c r="O15" s="61">
        <f t="shared" si="11"/>
        <v>23.373751717674718</v>
      </c>
      <c r="P15" s="29">
        <f t="shared" si="12"/>
        <v>4.2487503920869338</v>
      </c>
      <c r="Q15" s="29">
        <f t="shared" si="13"/>
        <v>3.3719445719038239</v>
      </c>
      <c r="R15" s="36">
        <f t="shared" si="14"/>
        <v>7.0371701236197852</v>
      </c>
      <c r="T15" s="26" t="s">
        <v>18</v>
      </c>
      <c r="U15" s="34" t="s">
        <v>13</v>
      </c>
      <c r="V15" s="28">
        <v>-6002.5147659145296</v>
      </c>
      <c r="W15" s="28">
        <v>-6.0056656360684428</v>
      </c>
      <c r="X15" s="28"/>
      <c r="Y15" s="36"/>
    </row>
    <row r="16" spans="1:27" ht="15" thickBot="1" x14ac:dyDescent="0.4">
      <c r="A16" s="83">
        <v>14</v>
      </c>
      <c r="B16" s="61">
        <v>2.21</v>
      </c>
      <c r="C16" s="36">
        <v>14</v>
      </c>
      <c r="D16" s="61">
        <f t="shared" si="0"/>
        <v>4.8841000000000001</v>
      </c>
      <c r="E16" s="29">
        <f t="shared" si="1"/>
        <v>10.793861</v>
      </c>
      <c r="F16" s="29">
        <f t="shared" si="2"/>
        <v>23.854432810000002</v>
      </c>
      <c r="G16" s="29">
        <f t="shared" si="3"/>
        <v>52.718296510100004</v>
      </c>
      <c r="H16" s="29">
        <f t="shared" si="4"/>
        <v>116.50743528732102</v>
      </c>
      <c r="I16" s="29">
        <f t="shared" si="5"/>
        <v>257.48143198497945</v>
      </c>
      <c r="J16" s="36">
        <f t="shared" si="6"/>
        <v>569.03396468680455</v>
      </c>
      <c r="K16" s="61">
        <f t="shared" si="7"/>
        <v>30.939999999999998</v>
      </c>
      <c r="L16" s="29">
        <f t="shared" si="8"/>
        <v>68.377399999999994</v>
      </c>
      <c r="M16" s="29">
        <f t="shared" si="9"/>
        <v>151.11405400000001</v>
      </c>
      <c r="N16" s="86">
        <f t="shared" si="10"/>
        <v>333.96205934000005</v>
      </c>
      <c r="O16" s="61">
        <f t="shared" si="11"/>
        <v>54.532919825444672</v>
      </c>
      <c r="P16" s="29">
        <f t="shared" si="12"/>
        <v>0.23887684002072429</v>
      </c>
      <c r="Q16" s="29">
        <f t="shared" si="13"/>
        <v>0.50938833527510619</v>
      </c>
      <c r="R16" s="36">
        <f t="shared" si="14"/>
        <v>1.0560954300815707E-2</v>
      </c>
      <c r="T16" s="27" t="s">
        <v>19</v>
      </c>
      <c r="U16" s="34" t="s">
        <v>13</v>
      </c>
      <c r="V16" s="28">
        <v>800.3054606472142</v>
      </c>
      <c r="W16" s="28"/>
      <c r="X16" s="28"/>
      <c r="Y16" s="36"/>
    </row>
    <row r="17" spans="1:25" ht="15" thickBot="1" x14ac:dyDescent="0.4">
      <c r="A17" s="83">
        <v>15</v>
      </c>
      <c r="B17" s="61">
        <v>2.2799999999999998</v>
      </c>
      <c r="C17" s="36">
        <v>14.96</v>
      </c>
      <c r="D17" s="61">
        <f t="shared" si="0"/>
        <v>5.1983999999999995</v>
      </c>
      <c r="E17" s="29">
        <f t="shared" si="1"/>
        <v>11.852351999999998</v>
      </c>
      <c r="F17" s="29">
        <f t="shared" si="2"/>
        <v>27.023362559999995</v>
      </c>
      <c r="G17" s="29">
        <f t="shared" si="3"/>
        <v>61.613266636799985</v>
      </c>
      <c r="H17" s="29">
        <f t="shared" si="4"/>
        <v>140.47824793190395</v>
      </c>
      <c r="I17" s="29">
        <f t="shared" si="5"/>
        <v>320.29040528474098</v>
      </c>
      <c r="J17" s="36">
        <f t="shared" si="6"/>
        <v>730.26212404920955</v>
      </c>
      <c r="K17" s="61">
        <f t="shared" si="7"/>
        <v>34.108800000000002</v>
      </c>
      <c r="L17" s="29">
        <f t="shared" si="8"/>
        <v>77.768063999999995</v>
      </c>
      <c r="M17" s="29">
        <f t="shared" si="9"/>
        <v>177.31118591999999</v>
      </c>
      <c r="N17" s="86">
        <f t="shared" si="10"/>
        <v>404.26950389759998</v>
      </c>
      <c r="O17" s="61">
        <f t="shared" si="11"/>
        <v>81.291166755524159</v>
      </c>
      <c r="P17" s="29">
        <f t="shared" si="12"/>
        <v>6.8726295033964491E-2</v>
      </c>
      <c r="Q17" s="29">
        <f t="shared" si="13"/>
        <v>7.206661880572611E-3</v>
      </c>
      <c r="R17" s="36">
        <f t="shared" si="14"/>
        <v>0.19528390962502165</v>
      </c>
      <c r="U17" s="37"/>
      <c r="V17" s="30"/>
      <c r="W17" s="30"/>
      <c r="X17" s="30"/>
      <c r="Y17" s="38"/>
    </row>
    <row r="18" spans="1:25" ht="15" thickBot="1" x14ac:dyDescent="0.4">
      <c r="A18" s="83">
        <v>16</v>
      </c>
      <c r="B18" s="61">
        <v>2.3199999999999998</v>
      </c>
      <c r="C18" s="36">
        <v>15.99</v>
      </c>
      <c r="D18" s="61">
        <f t="shared" si="0"/>
        <v>5.3823999999999996</v>
      </c>
      <c r="E18" s="29">
        <f t="shared" si="1"/>
        <v>12.487167999999999</v>
      </c>
      <c r="F18" s="29">
        <f t="shared" si="2"/>
        <v>28.970229759999995</v>
      </c>
      <c r="G18" s="29">
        <f t="shared" si="3"/>
        <v>67.210933043199987</v>
      </c>
      <c r="H18" s="29">
        <f t="shared" si="4"/>
        <v>155.92936466022397</v>
      </c>
      <c r="I18" s="29">
        <f t="shared" si="5"/>
        <v>361.75612601171957</v>
      </c>
      <c r="J18" s="36">
        <f t="shared" si="6"/>
        <v>839.2742123471894</v>
      </c>
      <c r="K18" s="61">
        <f t="shared" si="7"/>
        <v>37.096799999999995</v>
      </c>
      <c r="L18" s="29">
        <f t="shared" si="8"/>
        <v>86.064575999999988</v>
      </c>
      <c r="M18" s="29">
        <f t="shared" si="9"/>
        <v>199.66981632</v>
      </c>
      <c r="N18" s="86">
        <f t="shared" si="10"/>
        <v>463.23397386239992</v>
      </c>
      <c r="O18" s="61">
        <f t="shared" si="11"/>
        <v>68.188868430514745</v>
      </c>
      <c r="P18" s="29">
        <f t="shared" si="12"/>
        <v>5.1226306815227808E-2</v>
      </c>
      <c r="Q18" s="29">
        <f t="shared" si="13"/>
        <v>1.1045049476456511E-2</v>
      </c>
      <c r="R18" s="36">
        <f t="shared" si="14"/>
        <v>2.3801317045087846E-2</v>
      </c>
      <c r="U18" s="39" t="s">
        <v>23</v>
      </c>
      <c r="V18" s="40">
        <f>(O30/$U$1)^(0.5)</f>
        <v>8.3449427998267911</v>
      </c>
      <c r="W18" s="40">
        <f>(P30/$U$1)^(0.5)</f>
        <v>0.69026616122519491</v>
      </c>
      <c r="X18" s="40">
        <f>(Q30/$U$1)^(0.5)</f>
        <v>0.71513515741829159</v>
      </c>
      <c r="Y18" s="41">
        <f>(R30/$U$1)^(0.5)</f>
        <v>1.2468165060655008</v>
      </c>
    </row>
    <row r="19" spans="1:25" x14ac:dyDescent="0.35">
      <c r="A19" s="83">
        <v>17</v>
      </c>
      <c r="B19" s="61">
        <v>2.35</v>
      </c>
      <c r="C19" s="36">
        <v>18.170000000000002</v>
      </c>
      <c r="D19" s="61">
        <f t="shared" si="0"/>
        <v>5.5225000000000009</v>
      </c>
      <c r="E19" s="29">
        <f t="shared" si="1"/>
        <v>12.977875000000003</v>
      </c>
      <c r="F19" s="29">
        <f t="shared" si="2"/>
        <v>30.49800625000001</v>
      </c>
      <c r="G19" s="29">
        <f t="shared" si="3"/>
        <v>71.670314687500024</v>
      </c>
      <c r="H19" s="29">
        <f t="shared" si="4"/>
        <v>168.42523951562509</v>
      </c>
      <c r="I19" s="29">
        <f t="shared" si="5"/>
        <v>395.79931286171899</v>
      </c>
      <c r="J19" s="36">
        <f t="shared" si="6"/>
        <v>930.12838522503966</v>
      </c>
      <c r="K19" s="61">
        <f t="shared" si="7"/>
        <v>42.699500000000008</v>
      </c>
      <c r="L19" s="29">
        <f t="shared" si="8"/>
        <v>100.34382500000002</v>
      </c>
      <c r="M19" s="29">
        <f t="shared" si="9"/>
        <v>235.80798875000008</v>
      </c>
      <c r="N19" s="86">
        <f t="shared" si="10"/>
        <v>554.1487735625002</v>
      </c>
      <c r="O19" s="61">
        <f t="shared" si="11"/>
        <v>58.813758859470546</v>
      </c>
      <c r="P19" s="29">
        <f t="shared" si="12"/>
        <v>1.4446122486974411</v>
      </c>
      <c r="Q19" s="29">
        <f t="shared" si="13"/>
        <v>1.6018410059748409</v>
      </c>
      <c r="R19" s="36">
        <f t="shared" si="14"/>
        <v>2.1578074108684806</v>
      </c>
    </row>
    <row r="20" spans="1:25" x14ac:dyDescent="0.35">
      <c r="A20" s="83">
        <v>18</v>
      </c>
      <c r="B20" s="61">
        <v>2.35</v>
      </c>
      <c r="C20" s="36">
        <v>18.07</v>
      </c>
      <c r="D20" s="61">
        <f t="shared" si="0"/>
        <v>5.5225000000000009</v>
      </c>
      <c r="E20" s="29">
        <f t="shared" si="1"/>
        <v>12.977875000000003</v>
      </c>
      <c r="F20" s="29">
        <f t="shared" si="2"/>
        <v>30.49800625000001</v>
      </c>
      <c r="G20" s="29">
        <f t="shared" si="3"/>
        <v>71.670314687500024</v>
      </c>
      <c r="H20" s="29">
        <f t="shared" si="4"/>
        <v>168.42523951562509</v>
      </c>
      <c r="I20" s="29">
        <f t="shared" si="5"/>
        <v>395.79931286171899</v>
      </c>
      <c r="J20" s="36">
        <f t="shared" si="6"/>
        <v>930.12838522503966</v>
      </c>
      <c r="K20" s="61">
        <f t="shared" si="7"/>
        <v>42.464500000000001</v>
      </c>
      <c r="L20" s="29">
        <f t="shared" si="8"/>
        <v>99.791575000000023</v>
      </c>
      <c r="M20" s="29">
        <f t="shared" si="9"/>
        <v>234.51020125000005</v>
      </c>
      <c r="N20" s="86">
        <f t="shared" si="10"/>
        <v>551.09897293750021</v>
      </c>
      <c r="O20" s="61">
        <f t="shared" si="11"/>
        <v>57.289956279482205</v>
      </c>
      <c r="P20" s="29">
        <f t="shared" si="12"/>
        <v>1.2142282019141757</v>
      </c>
      <c r="Q20" s="29">
        <f t="shared" si="13"/>
        <v>1.3587132907024999</v>
      </c>
      <c r="R20" s="36">
        <f t="shared" si="14"/>
        <v>1.8740178664072431</v>
      </c>
    </row>
    <row r="21" spans="1:25" x14ac:dyDescent="0.35">
      <c r="A21" s="83">
        <v>19</v>
      </c>
      <c r="B21" s="61">
        <v>2.37</v>
      </c>
      <c r="C21" s="36">
        <v>17.010000000000002</v>
      </c>
      <c r="D21" s="61">
        <f t="shared" si="0"/>
        <v>5.6169000000000002</v>
      </c>
      <c r="E21" s="29">
        <f t="shared" si="1"/>
        <v>13.312053000000001</v>
      </c>
      <c r="F21" s="29">
        <f t="shared" si="2"/>
        <v>31.549565610000002</v>
      </c>
      <c r="G21" s="29">
        <f t="shared" si="3"/>
        <v>74.772470495700006</v>
      </c>
      <c r="H21" s="29">
        <f t="shared" si="4"/>
        <v>177.21075507480901</v>
      </c>
      <c r="I21" s="29">
        <f t="shared" si="5"/>
        <v>419.98948952729739</v>
      </c>
      <c r="J21" s="36">
        <f t="shared" si="6"/>
        <v>995.37509017969478</v>
      </c>
      <c r="K21" s="61">
        <f t="shared" si="7"/>
        <v>40.313700000000004</v>
      </c>
      <c r="L21" s="29">
        <f t="shared" si="8"/>
        <v>95.543469000000016</v>
      </c>
      <c r="M21" s="29">
        <f t="shared" si="9"/>
        <v>226.43802153000004</v>
      </c>
      <c r="N21" s="86">
        <f t="shared" si="10"/>
        <v>536.65811102610007</v>
      </c>
      <c r="O21" s="61">
        <f t="shared" si="11"/>
        <v>14.842008124180229</v>
      </c>
      <c r="P21" s="29">
        <f t="shared" si="12"/>
        <v>0.21308990619338566</v>
      </c>
      <c r="Q21" s="29">
        <f t="shared" si="13"/>
        <v>0.19728184754313749</v>
      </c>
      <c r="R21" s="36">
        <f t="shared" si="14"/>
        <v>3.8733146773373161E-3</v>
      </c>
    </row>
    <row r="22" spans="1:25" x14ac:dyDescent="0.35">
      <c r="A22" s="83">
        <v>20</v>
      </c>
      <c r="B22" s="61">
        <v>2.37</v>
      </c>
      <c r="C22" s="36">
        <v>17.86</v>
      </c>
      <c r="D22" s="61">
        <f t="shared" si="0"/>
        <v>5.6169000000000002</v>
      </c>
      <c r="E22" s="29">
        <f t="shared" si="1"/>
        <v>13.312053000000001</v>
      </c>
      <c r="F22" s="29">
        <f t="shared" si="2"/>
        <v>31.549565610000002</v>
      </c>
      <c r="G22" s="29">
        <f t="shared" si="3"/>
        <v>74.772470495700006</v>
      </c>
      <c r="H22" s="29">
        <f t="shared" si="4"/>
        <v>177.21075507480901</v>
      </c>
      <c r="I22" s="29">
        <f t="shared" si="5"/>
        <v>419.98948952729739</v>
      </c>
      <c r="J22" s="36">
        <f t="shared" si="6"/>
        <v>995.37509017969478</v>
      </c>
      <c r="K22" s="61">
        <f t="shared" si="7"/>
        <v>42.328200000000002</v>
      </c>
      <c r="L22" s="29">
        <f t="shared" si="8"/>
        <v>100.317834</v>
      </c>
      <c r="M22" s="29">
        <f t="shared" si="9"/>
        <v>237.75326658</v>
      </c>
      <c r="N22" s="86">
        <f t="shared" si="10"/>
        <v>563.47524179460004</v>
      </c>
      <c r="O22" s="61">
        <f t="shared" si="11"/>
        <v>22.113813696443643</v>
      </c>
      <c r="P22" s="29">
        <f t="shared" si="12"/>
        <v>0.15084164789720622</v>
      </c>
      <c r="Q22" s="29">
        <f t="shared" si="13"/>
        <v>0.16470268652777087</v>
      </c>
      <c r="R22" s="36">
        <f t="shared" si="14"/>
        <v>0.62057218322069574</v>
      </c>
    </row>
    <row r="23" spans="1:25" x14ac:dyDescent="0.35">
      <c r="A23" s="83">
        <v>21</v>
      </c>
      <c r="B23" s="61">
        <v>2.38</v>
      </c>
      <c r="C23" s="36">
        <v>17.399999999999999</v>
      </c>
      <c r="D23" s="61">
        <f t="shared" si="0"/>
        <v>5.6643999999999997</v>
      </c>
      <c r="E23" s="29">
        <f t="shared" si="1"/>
        <v>13.481271999999999</v>
      </c>
      <c r="F23" s="29">
        <f t="shared" si="2"/>
        <v>32.085427359999997</v>
      </c>
      <c r="G23" s="29">
        <f t="shared" si="3"/>
        <v>76.36331711679999</v>
      </c>
      <c r="H23" s="29">
        <f t="shared" si="4"/>
        <v>181.74469473798396</v>
      </c>
      <c r="I23" s="29">
        <f t="shared" si="5"/>
        <v>432.55237347640184</v>
      </c>
      <c r="J23" s="36">
        <f t="shared" si="6"/>
        <v>1029.4746488738365</v>
      </c>
      <c r="K23" s="61">
        <f t="shared" si="7"/>
        <v>41.411999999999992</v>
      </c>
      <c r="L23" s="29">
        <f t="shared" si="8"/>
        <v>98.560559999999981</v>
      </c>
      <c r="M23" s="29">
        <f t="shared" si="9"/>
        <v>234.57413279999997</v>
      </c>
      <c r="N23" s="86">
        <f t="shared" si="10"/>
        <v>558.28643606399987</v>
      </c>
      <c r="O23" s="61">
        <f t="shared" si="11"/>
        <v>6.9876822037503956</v>
      </c>
      <c r="P23" s="29">
        <f t="shared" si="12"/>
        <v>0.10496855530301116</v>
      </c>
      <c r="Q23" s="29">
        <f t="shared" si="13"/>
        <v>0.11032577795109835</v>
      </c>
      <c r="R23" s="36">
        <f t="shared" si="14"/>
        <v>2.0212934261292295E-2</v>
      </c>
    </row>
    <row r="24" spans="1:25" x14ac:dyDescent="0.35">
      <c r="A24" s="83">
        <v>22</v>
      </c>
      <c r="B24" s="61">
        <v>2.38</v>
      </c>
      <c r="C24" s="36">
        <v>17.53</v>
      </c>
      <c r="D24" s="61">
        <f t="shared" si="0"/>
        <v>5.6643999999999997</v>
      </c>
      <c r="E24" s="29">
        <f t="shared" si="1"/>
        <v>13.481271999999999</v>
      </c>
      <c r="F24" s="29">
        <f t="shared" si="2"/>
        <v>32.085427359999997</v>
      </c>
      <c r="G24" s="29">
        <f t="shared" si="3"/>
        <v>76.36331711679999</v>
      </c>
      <c r="H24" s="29">
        <f t="shared" si="4"/>
        <v>181.74469473798396</v>
      </c>
      <c r="I24" s="29">
        <f t="shared" si="5"/>
        <v>432.55237347640184</v>
      </c>
      <c r="J24" s="36">
        <f t="shared" si="6"/>
        <v>1029.4746488738365</v>
      </c>
      <c r="K24" s="61">
        <f t="shared" si="7"/>
        <v>41.721400000000003</v>
      </c>
      <c r="L24" s="29">
        <f t="shared" si="8"/>
        <v>99.296931999999998</v>
      </c>
      <c r="M24" s="29">
        <f t="shared" si="9"/>
        <v>236.32669816000001</v>
      </c>
      <c r="N24" s="86">
        <f t="shared" si="10"/>
        <v>562.45754162079993</v>
      </c>
      <c r="O24" s="61">
        <f t="shared" si="11"/>
        <v>7.6918720385170296</v>
      </c>
      <c r="P24" s="29">
        <f t="shared" si="12"/>
        <v>3.7631542425750834E-2</v>
      </c>
      <c r="Q24" s="29">
        <f t="shared" si="13"/>
        <v>4.0865934334435708E-2</v>
      </c>
      <c r="R24" s="36">
        <f t="shared" si="14"/>
        <v>7.4077706086145514E-2</v>
      </c>
    </row>
    <row r="25" spans="1:25" x14ac:dyDescent="0.35">
      <c r="A25" s="83">
        <v>23</v>
      </c>
      <c r="B25" s="61">
        <v>2.39</v>
      </c>
      <c r="C25" s="36">
        <v>18.79</v>
      </c>
      <c r="D25" s="61">
        <f t="shared" si="0"/>
        <v>5.7121000000000004</v>
      </c>
      <c r="E25" s="29">
        <f t="shared" si="1"/>
        <v>13.651919000000001</v>
      </c>
      <c r="F25" s="29">
        <f t="shared" si="2"/>
        <v>32.628086410000002</v>
      </c>
      <c r="G25" s="29">
        <f t="shared" si="3"/>
        <v>77.981126519900002</v>
      </c>
      <c r="H25" s="29">
        <f t="shared" si="4"/>
        <v>186.37489238256103</v>
      </c>
      <c r="I25" s="29">
        <f t="shared" si="5"/>
        <v>445.43599279432084</v>
      </c>
      <c r="J25" s="36">
        <f t="shared" si="6"/>
        <v>1064.5920227784268</v>
      </c>
      <c r="K25" s="61">
        <f t="shared" si="7"/>
        <v>44.908099999999997</v>
      </c>
      <c r="L25" s="29">
        <f t="shared" si="8"/>
        <v>107.330359</v>
      </c>
      <c r="M25" s="29">
        <f t="shared" si="9"/>
        <v>256.51955801000003</v>
      </c>
      <c r="N25" s="86">
        <f t="shared" si="10"/>
        <v>613.08174364390004</v>
      </c>
      <c r="O25" s="61">
        <f t="shared" si="11"/>
        <v>5.0220497402453619</v>
      </c>
      <c r="P25" s="29">
        <f t="shared" si="12"/>
        <v>0.66143304237402967</v>
      </c>
      <c r="Q25" s="29">
        <f t="shared" si="13"/>
        <v>0.6049717475015074</v>
      </c>
      <c r="R25" s="36">
        <f t="shared" si="14"/>
        <v>1.8132786614484413</v>
      </c>
    </row>
    <row r="26" spans="1:25" x14ac:dyDescent="0.35">
      <c r="A26" s="83">
        <v>24</v>
      </c>
      <c r="B26" s="61">
        <v>2.4</v>
      </c>
      <c r="C26" s="36">
        <v>18.07</v>
      </c>
      <c r="D26" s="61">
        <f t="shared" si="0"/>
        <v>5.76</v>
      </c>
      <c r="E26" s="29">
        <f t="shared" si="1"/>
        <v>13.824</v>
      </c>
      <c r="F26" s="29">
        <f t="shared" si="2"/>
        <v>33.177599999999998</v>
      </c>
      <c r="G26" s="29">
        <f t="shared" si="3"/>
        <v>79.626239999999996</v>
      </c>
      <c r="H26" s="29">
        <f t="shared" si="4"/>
        <v>191.10297599999998</v>
      </c>
      <c r="I26" s="29">
        <f t="shared" si="5"/>
        <v>458.64714239999995</v>
      </c>
      <c r="J26" s="36">
        <f t="shared" si="6"/>
        <v>1100.7531417599998</v>
      </c>
      <c r="K26" s="61">
        <f t="shared" si="7"/>
        <v>43.368000000000002</v>
      </c>
      <c r="L26" s="29">
        <f t="shared" si="8"/>
        <v>104.08319999999999</v>
      </c>
      <c r="M26" s="29">
        <f t="shared" si="9"/>
        <v>249.79968</v>
      </c>
      <c r="N26" s="86">
        <f t="shared" si="10"/>
        <v>599.51923199999999</v>
      </c>
      <c r="O26" s="61">
        <f t="shared" si="11"/>
        <v>0.22519765900723498</v>
      </c>
      <c r="P26" s="29">
        <f t="shared" si="12"/>
        <v>2.5522950481690856E-2</v>
      </c>
      <c r="Q26" s="29">
        <f t="shared" si="13"/>
        <v>5.0313444175619504E-2</v>
      </c>
      <c r="R26" s="36">
        <f t="shared" si="14"/>
        <v>0.19447087242556471</v>
      </c>
    </row>
    <row r="27" spans="1:25" x14ac:dyDescent="0.35">
      <c r="A27" s="83">
        <v>25</v>
      </c>
      <c r="B27" s="61">
        <v>2.4</v>
      </c>
      <c r="C27" s="36">
        <v>19.309999999999999</v>
      </c>
      <c r="D27" s="61">
        <f t="shared" si="0"/>
        <v>5.76</v>
      </c>
      <c r="E27" s="29">
        <f t="shared" si="1"/>
        <v>13.824</v>
      </c>
      <c r="F27" s="29">
        <f t="shared" si="2"/>
        <v>33.177599999999998</v>
      </c>
      <c r="G27" s="29">
        <f t="shared" si="3"/>
        <v>79.626239999999996</v>
      </c>
      <c r="H27" s="29">
        <f t="shared" si="4"/>
        <v>191.10297599999998</v>
      </c>
      <c r="I27" s="29">
        <f t="shared" si="5"/>
        <v>458.64714239999995</v>
      </c>
      <c r="J27" s="36">
        <f t="shared" si="6"/>
        <v>1100.7531417599998</v>
      </c>
      <c r="K27" s="61">
        <f t="shared" si="7"/>
        <v>46.343999999999994</v>
      </c>
      <c r="L27" s="29">
        <f t="shared" si="8"/>
        <v>111.22559999999999</v>
      </c>
      <c r="M27" s="29">
        <f t="shared" si="9"/>
        <v>266.94144</v>
      </c>
      <c r="N27" s="36">
        <f t="shared" ref="N27:N29" si="19">+F27*C27</f>
        <v>640.65945599999998</v>
      </c>
      <c r="O27" s="61">
        <f t="shared" si="11"/>
        <v>0.58591377265391098</v>
      </c>
      <c r="P27" s="29">
        <f t="shared" si="12"/>
        <v>1.166920534231368</v>
      </c>
      <c r="Q27" s="29">
        <f t="shared" si="13"/>
        <v>1.0316331128158511</v>
      </c>
      <c r="R27" s="36">
        <f t="shared" si="14"/>
        <v>2.8257223954282904</v>
      </c>
    </row>
    <row r="28" spans="1:25" x14ac:dyDescent="0.35">
      <c r="A28" s="83">
        <v>26</v>
      </c>
      <c r="B28" s="61">
        <v>2.46</v>
      </c>
      <c r="C28" s="36">
        <v>18.96</v>
      </c>
      <c r="D28" s="61">
        <f t="shared" si="0"/>
        <v>6.0515999999999996</v>
      </c>
      <c r="E28" s="29">
        <f t="shared" si="1"/>
        <v>14.886935999999999</v>
      </c>
      <c r="F28" s="29">
        <f t="shared" si="2"/>
        <v>36.621862559999997</v>
      </c>
      <c r="G28" s="29">
        <f t="shared" si="3"/>
        <v>90.089781897599991</v>
      </c>
      <c r="H28" s="29">
        <f t="shared" si="4"/>
        <v>221.62086346809596</v>
      </c>
      <c r="I28" s="29">
        <f t="shared" si="5"/>
        <v>545.18732413151611</v>
      </c>
      <c r="J28" s="36">
        <f t="shared" si="6"/>
        <v>1341.1608173635295</v>
      </c>
      <c r="K28" s="61">
        <f t="shared" si="7"/>
        <v>46.641600000000004</v>
      </c>
      <c r="L28" s="29">
        <f t="shared" si="8"/>
        <v>114.738336</v>
      </c>
      <c r="M28" s="29">
        <f t="shared" si="9"/>
        <v>282.25630655999998</v>
      </c>
      <c r="N28" s="36">
        <f t="shared" si="19"/>
        <v>694.35051413759993</v>
      </c>
      <c r="O28" s="61">
        <f t="shared" si="11"/>
        <v>268.82488367009802</v>
      </c>
      <c r="P28" s="29">
        <f t="shared" si="12"/>
        <v>0.62835772117541389</v>
      </c>
      <c r="Q28" s="29">
        <f t="shared" si="13"/>
        <v>1.145261290789364</v>
      </c>
      <c r="R28" s="36">
        <f t="shared" si="14"/>
        <v>4.7279053960209538E-2</v>
      </c>
    </row>
    <row r="29" spans="1:25" ht="15" thickBot="1" x14ac:dyDescent="0.4">
      <c r="A29" s="84">
        <v>27</v>
      </c>
      <c r="B29" s="75">
        <v>2.46</v>
      </c>
      <c r="C29" s="76">
        <v>18.96</v>
      </c>
      <c r="D29" s="75">
        <f t="shared" si="0"/>
        <v>6.0515999999999996</v>
      </c>
      <c r="E29" s="78">
        <f t="shared" si="1"/>
        <v>14.886935999999999</v>
      </c>
      <c r="F29" s="78">
        <f t="shared" si="2"/>
        <v>36.621862559999997</v>
      </c>
      <c r="G29" s="78">
        <f t="shared" si="3"/>
        <v>90.089781897599991</v>
      </c>
      <c r="H29" s="78">
        <f t="shared" si="4"/>
        <v>221.62086346809596</v>
      </c>
      <c r="I29" s="78">
        <f t="shared" si="5"/>
        <v>545.18732413151611</v>
      </c>
      <c r="J29" s="76">
        <f t="shared" si="6"/>
        <v>1341.1608173635295</v>
      </c>
      <c r="K29" s="63">
        <f t="shared" si="7"/>
        <v>46.641600000000004</v>
      </c>
      <c r="L29" s="62">
        <f t="shared" si="8"/>
        <v>114.738336</v>
      </c>
      <c r="M29" s="62">
        <f t="shared" si="9"/>
        <v>282.25630655999998</v>
      </c>
      <c r="N29" s="64">
        <f t="shared" si="19"/>
        <v>694.35051413759993</v>
      </c>
      <c r="O29" s="61">
        <f t="shared" si="11"/>
        <v>268.82488367009802</v>
      </c>
      <c r="P29" s="29">
        <f t="shared" si="12"/>
        <v>0.62835772117541389</v>
      </c>
      <c r="Q29" s="29">
        <f t="shared" si="13"/>
        <v>1.145261290789364</v>
      </c>
      <c r="R29" s="36">
        <f t="shared" si="14"/>
        <v>4.7279053960209538E-2</v>
      </c>
    </row>
    <row r="30" spans="1:25" ht="15" thickBot="1" x14ac:dyDescent="0.4">
      <c r="A30" s="79" t="s">
        <v>53</v>
      </c>
      <c r="B30" s="1">
        <f>+SUM(B3:B29)</f>
        <v>55.620000000000005</v>
      </c>
      <c r="C30" s="3">
        <f t="shared" ref="C30:N30" si="20">+SUM(C3:C29)</f>
        <v>305.6099999999999</v>
      </c>
      <c r="D30" s="1">
        <f t="shared" si="20"/>
        <v>118.41100000000002</v>
      </c>
      <c r="E30" s="2">
        <f t="shared" si="20"/>
        <v>258.69542999999999</v>
      </c>
      <c r="F30" s="2">
        <f t="shared" si="20"/>
        <v>576.46133709999981</v>
      </c>
      <c r="G30" s="2">
        <f t="shared" ref="G30" si="21">+SUM(G3:G29)</f>
        <v>1303.8147773142</v>
      </c>
      <c r="H30" s="2">
        <f t="shared" ref="H30" si="22">+SUM(H3:H29)</f>
        <v>2982.0481054420306</v>
      </c>
      <c r="I30" s="2">
        <f t="shared" ref="I30" si="23">+SUM(I3:I29)</f>
        <v>6878.2672046318266</v>
      </c>
      <c r="J30" s="3">
        <f t="shared" ref="J30" si="24">+SUM(J3:J29)</f>
        <v>15967.894466599326</v>
      </c>
      <c r="K30" s="1">
        <f t="shared" si="20"/>
        <v>700.70880000000011</v>
      </c>
      <c r="L30" s="2">
        <f t="shared" si="20"/>
        <v>1617.1137920000001</v>
      </c>
      <c r="M30" s="2">
        <f t="shared" si="20"/>
        <v>3751.8731683200003</v>
      </c>
      <c r="N30" s="3">
        <f t="shared" si="20"/>
        <v>8745.1547466310185</v>
      </c>
      <c r="O30" s="65">
        <f t="shared" ref="O30" si="25">+SUM(O3:O29)</f>
        <v>1880.227898974287</v>
      </c>
      <c r="P30" s="3">
        <f t="shared" ref="P30" si="26">+SUM(P3:P29)</f>
        <v>12.864619079979303</v>
      </c>
      <c r="Q30" s="3">
        <f t="shared" ref="Q30" si="27">+SUM(Q3:Q29)</f>
        <v>13.808293921143488</v>
      </c>
      <c r="R30" s="3">
        <f t="shared" ref="R30" si="28">+SUM(R3:R29)</f>
        <v>41.972887794529342</v>
      </c>
    </row>
    <row r="32" spans="1:25" ht="15" thickBot="1" x14ac:dyDescent="0.4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1" ht="32.5" customHeight="1" thickBot="1" x14ac:dyDescent="0.4">
      <c r="A33" t="s">
        <v>45</v>
      </c>
      <c r="B33" t="s">
        <v>54</v>
      </c>
      <c r="E33" s="6" t="s">
        <v>35</v>
      </c>
    </row>
    <row r="34" spans="1:11" ht="15" thickBot="1" x14ac:dyDescent="0.4">
      <c r="A34" s="88" t="s">
        <v>0</v>
      </c>
      <c r="B34" s="89" t="s">
        <v>1</v>
      </c>
      <c r="C34" s="89" t="s">
        <v>30</v>
      </c>
      <c r="D34" s="89" t="s">
        <v>7</v>
      </c>
      <c r="E34" s="80" t="s">
        <v>36</v>
      </c>
      <c r="F34" s="89" t="s">
        <v>55</v>
      </c>
      <c r="G34" s="89" t="s">
        <v>56</v>
      </c>
      <c r="H34" s="169" t="s">
        <v>34</v>
      </c>
      <c r="I34" s="170"/>
      <c r="J34" s="170"/>
      <c r="K34" s="171"/>
    </row>
    <row r="35" spans="1:11" ht="15" thickBot="1" x14ac:dyDescent="0.4">
      <c r="A35" s="73">
        <f>+LN(B3)</f>
        <v>0.25464221837358075</v>
      </c>
      <c r="B35" s="77">
        <f>+LN(C3)</f>
        <v>-2.6592600369327779</v>
      </c>
      <c r="C35" s="77">
        <f>+A35^2</f>
        <v>6.4842659378218384E-2</v>
      </c>
      <c r="D35" s="107">
        <f>+A35*B35</f>
        <v>-0.67715987503677288</v>
      </c>
      <c r="E35" s="114">
        <f>+B3*B35</f>
        <v>-3.4304454476432835</v>
      </c>
      <c r="F35" s="114">
        <f>+(($K$40*(B3^$K$41))-C3)^2</f>
        <v>3.8136680394441409E-2</v>
      </c>
      <c r="G35" s="70">
        <f>+(($K$54*EXP($K$55*B3))-C3)^2</f>
        <v>9.1539966718865218E-2</v>
      </c>
      <c r="H35" s="167" t="s">
        <v>8</v>
      </c>
      <c r="I35" s="168"/>
      <c r="J35" s="81" t="s">
        <v>12</v>
      </c>
      <c r="K35" s="56" t="s">
        <v>14</v>
      </c>
    </row>
    <row r="36" spans="1:11" x14ac:dyDescent="0.35">
      <c r="A36" s="61">
        <f t="shared" ref="A36:B60" si="29">+LN(B4)</f>
        <v>0.32208349916911322</v>
      </c>
      <c r="B36" s="29">
        <f t="shared" si="29"/>
        <v>-1.3862943611198906</v>
      </c>
      <c r="C36" s="29">
        <f t="shared" ref="C36:C61" si="30">+A36^2</f>
        <v>0.10373778043702016</v>
      </c>
      <c r="D36" s="57">
        <f t="shared" ref="D36:D61" si="31">+A36*B36</f>
        <v>-0.44650253870790463</v>
      </c>
      <c r="E36" s="115">
        <f t="shared" ref="E36:E61" si="32">+B4*B36</f>
        <v>-1.9130862183454489</v>
      </c>
      <c r="F36" s="115">
        <f t="shared" ref="F36:F61" si="33">+(($K$40*(B4^$K$41))-C4)^2</f>
        <v>3.183403907668339E-2</v>
      </c>
      <c r="G36" s="71">
        <f t="shared" ref="G36:G61" si="34">+(($K$54*EXP($K$55*B4))-C4)^2</f>
        <v>7.2893841384856231E-2</v>
      </c>
      <c r="H36" s="109">
        <f>+U1</f>
        <v>27</v>
      </c>
      <c r="I36" s="90">
        <f>+A62</f>
        <v>19.002834890738676</v>
      </c>
      <c r="J36" s="91" t="s">
        <v>29</v>
      </c>
      <c r="K36" s="92">
        <f>+B62</f>
        <v>50.361125121973011</v>
      </c>
    </row>
    <row r="37" spans="1:11" ht="15" thickBot="1" x14ac:dyDescent="0.4">
      <c r="A37" s="61">
        <f t="shared" si="29"/>
        <v>0.40546510810816438</v>
      </c>
      <c r="B37" s="29">
        <f t="shared" si="29"/>
        <v>0.11332868530700327</v>
      </c>
      <c r="C37" s="29">
        <f t="shared" si="30"/>
        <v>0.16440195389316542</v>
      </c>
      <c r="D37" s="57">
        <f t="shared" si="31"/>
        <v>4.5950827639760224E-2</v>
      </c>
      <c r="E37" s="115">
        <f t="shared" si="32"/>
        <v>0.16999302796050492</v>
      </c>
      <c r="F37" s="115">
        <f t="shared" si="33"/>
        <v>0.11911780410353207</v>
      </c>
      <c r="G37" s="71">
        <f t="shared" si="34"/>
        <v>9.5431303298820561E-2</v>
      </c>
      <c r="H37" s="110">
        <f>+A62</f>
        <v>19.002834890738676</v>
      </c>
      <c r="I37" s="94">
        <f>+C62</f>
        <v>14.45943332470774</v>
      </c>
      <c r="J37" s="95" t="s">
        <v>31</v>
      </c>
      <c r="K37" s="96">
        <f>+D62</f>
        <v>43.156082168321674</v>
      </c>
    </row>
    <row r="38" spans="1:11" x14ac:dyDescent="0.35">
      <c r="A38" s="61">
        <f t="shared" si="29"/>
        <v>0.41210965082683298</v>
      </c>
      <c r="B38" s="29">
        <f t="shared" si="29"/>
        <v>6.7658648473814864E-2</v>
      </c>
      <c r="C38" s="29">
        <f t="shared" si="30"/>
        <v>0.16983436430461421</v>
      </c>
      <c r="D38" s="57">
        <f t="shared" si="31"/>
        <v>2.788278199795928E-2</v>
      </c>
      <c r="E38" s="115">
        <f t="shared" si="32"/>
        <v>0.10216455919546044</v>
      </c>
      <c r="F38" s="115">
        <f t="shared" si="33"/>
        <v>6.6391811374637413E-2</v>
      </c>
      <c r="G38" s="71">
        <f t="shared" si="34"/>
        <v>5.2124634609406195E-2</v>
      </c>
      <c r="H38" s="87"/>
      <c r="I38" s="87"/>
      <c r="J38" s="87"/>
      <c r="K38" s="87"/>
    </row>
    <row r="39" spans="1:11" ht="15" thickBot="1" x14ac:dyDescent="0.4">
      <c r="A39" s="61">
        <f t="shared" si="29"/>
        <v>0.42526773540434409</v>
      </c>
      <c r="B39" s="29">
        <f t="shared" si="29"/>
        <v>0.13976194237515863</v>
      </c>
      <c r="C39" s="29">
        <f t="shared" si="30"/>
        <v>0.18085264677593921</v>
      </c>
      <c r="D39" s="57">
        <f t="shared" si="31"/>
        <v>5.9436244729596147E-2</v>
      </c>
      <c r="E39" s="115">
        <f t="shared" si="32"/>
        <v>0.21383577183399272</v>
      </c>
      <c r="F39" s="115">
        <f t="shared" si="33"/>
        <v>6.6583194379403937E-2</v>
      </c>
      <c r="G39" s="71">
        <f t="shared" si="34"/>
        <v>5.9329216972971763E-2</v>
      </c>
      <c r="H39" s="87"/>
      <c r="I39" s="87"/>
      <c r="J39" s="87"/>
      <c r="K39" s="87"/>
    </row>
    <row r="40" spans="1:11" x14ac:dyDescent="0.35">
      <c r="A40" s="61">
        <f t="shared" si="29"/>
        <v>0.45107561936021673</v>
      </c>
      <c r="B40" s="29">
        <f t="shared" si="29"/>
        <v>0.30748469974796072</v>
      </c>
      <c r="C40" s="29">
        <f t="shared" si="30"/>
        <v>0.20346921438120313</v>
      </c>
      <c r="D40" s="57">
        <f t="shared" si="31"/>
        <v>0.13869885138260166</v>
      </c>
      <c r="E40" s="115">
        <f t="shared" si="32"/>
        <v>0.48275097860429833</v>
      </c>
      <c r="F40" s="115">
        <f t="shared" si="33"/>
        <v>8.3217908328082221E-2</v>
      </c>
      <c r="G40" s="71">
        <f t="shared" si="34"/>
        <v>9.535326237447557E-2</v>
      </c>
      <c r="H40" s="111" t="s">
        <v>29</v>
      </c>
      <c r="I40" s="98" cm="1">
        <f t="array" ref="I40:I41">+MMULT((MINVERSE(H36:I37)),K36:K37)</f>
        <v>-3.1366583654464648</v>
      </c>
      <c r="J40" s="97" t="s">
        <v>32</v>
      </c>
      <c r="K40" s="99">
        <f>+EXP(I40)</f>
        <v>4.3427675123559113E-2</v>
      </c>
    </row>
    <row r="41" spans="1:11" ht="15" thickBot="1" x14ac:dyDescent="0.4">
      <c r="A41" s="61">
        <f t="shared" si="29"/>
        <v>0.47623417899637172</v>
      </c>
      <c r="B41" s="29">
        <f t="shared" si="29"/>
        <v>0.71783979315031676</v>
      </c>
      <c r="C41" s="29">
        <f t="shared" si="30"/>
        <v>0.22679899324434821</v>
      </c>
      <c r="D41" s="57">
        <f t="shared" si="31"/>
        <v>0.34185984454186641</v>
      </c>
      <c r="E41" s="115">
        <f t="shared" si="32"/>
        <v>1.1557220669720101</v>
      </c>
      <c r="F41" s="115">
        <f t="shared" si="33"/>
        <v>0.59088697425448411</v>
      </c>
      <c r="G41" s="71">
        <f t="shared" si="34"/>
        <v>0.69036907738997877</v>
      </c>
      <c r="H41" s="112" t="s">
        <v>31</v>
      </c>
      <c r="I41" s="101">
        <v>7.1068817766156869</v>
      </c>
      <c r="J41" s="100" t="s">
        <v>31</v>
      </c>
      <c r="K41" s="102">
        <f>+I41</f>
        <v>7.1068817766156869</v>
      </c>
    </row>
    <row r="42" spans="1:11" ht="15" thickBot="1" x14ac:dyDescent="0.4">
      <c r="A42" s="61">
        <f t="shared" si="29"/>
        <v>0.64185388617239469</v>
      </c>
      <c r="B42" s="29">
        <f t="shared" si="29"/>
        <v>1.9837562915454279</v>
      </c>
      <c r="C42" s="29">
        <f t="shared" si="30"/>
        <v>0.41197641119460543</v>
      </c>
      <c r="D42" s="57">
        <f t="shared" si="31"/>
        <v>1.2732816849473709</v>
      </c>
      <c r="E42" s="115">
        <f t="shared" si="32"/>
        <v>3.7691369539363127</v>
      </c>
      <c r="F42" s="115">
        <f t="shared" si="33"/>
        <v>9.687465010441576</v>
      </c>
      <c r="G42" s="71">
        <f t="shared" si="34"/>
        <v>13.69226821133171</v>
      </c>
      <c r="H42" s="87"/>
      <c r="I42" s="87"/>
      <c r="J42" s="87"/>
      <c r="K42" s="87"/>
    </row>
    <row r="43" spans="1:11" ht="15" thickBot="1" x14ac:dyDescent="0.4">
      <c r="A43" s="61">
        <f t="shared" si="29"/>
        <v>0.65752000291679413</v>
      </c>
      <c r="B43" s="29">
        <f t="shared" si="29"/>
        <v>1.9933388426264242</v>
      </c>
      <c r="C43" s="29">
        <f t="shared" si="30"/>
        <v>0.43233255423570094</v>
      </c>
      <c r="D43" s="57">
        <f t="shared" si="31"/>
        <v>1.3106601616178855</v>
      </c>
      <c r="E43" s="115">
        <f t="shared" si="32"/>
        <v>3.8471439662689986</v>
      </c>
      <c r="F43" s="115">
        <f t="shared" si="33"/>
        <v>7.2513301835836064</v>
      </c>
      <c r="G43" s="71">
        <f t="shared" si="34"/>
        <v>11.227082350002073</v>
      </c>
      <c r="J43" s="67" t="s">
        <v>57</v>
      </c>
      <c r="K43" s="69">
        <f>+SQRT(F62/A29)</f>
        <v>2.76802171312643</v>
      </c>
    </row>
    <row r="44" spans="1:11" x14ac:dyDescent="0.35">
      <c r="A44" s="61">
        <f t="shared" si="29"/>
        <v>0.67294447324242579</v>
      </c>
      <c r="B44" s="29">
        <f t="shared" si="29"/>
        <v>2.135349173618132</v>
      </c>
      <c r="C44" s="29">
        <f t="shared" si="30"/>
        <v>0.45285426406752594</v>
      </c>
      <c r="D44" s="57">
        <f t="shared" si="31"/>
        <v>1.436971424829103</v>
      </c>
      <c r="E44" s="115">
        <f t="shared" si="32"/>
        <v>4.1852843802915389</v>
      </c>
      <c r="F44" s="115">
        <f t="shared" si="33"/>
        <v>10.721936652318776</v>
      </c>
      <c r="G44" s="71">
        <f t="shared" si="34"/>
        <v>16.013874805743264</v>
      </c>
    </row>
    <row r="45" spans="1:11" x14ac:dyDescent="0.35">
      <c r="A45" s="61">
        <f t="shared" si="29"/>
        <v>0.71783979315031676</v>
      </c>
      <c r="B45" s="29">
        <f t="shared" si="29"/>
        <v>2.166765369851511</v>
      </c>
      <c r="C45" s="29">
        <f t="shared" si="30"/>
        <v>0.51529396863008958</v>
      </c>
      <c r="D45" s="57">
        <f t="shared" si="31"/>
        <v>1.5553904048994782</v>
      </c>
      <c r="E45" s="115">
        <f t="shared" si="32"/>
        <v>4.4418690081955976</v>
      </c>
      <c r="F45" s="115">
        <f t="shared" si="33"/>
        <v>2.545574543969463</v>
      </c>
      <c r="G45" s="71">
        <f t="shared" si="34"/>
        <v>6.2872939305015558</v>
      </c>
    </row>
    <row r="46" spans="1:11" x14ac:dyDescent="0.35">
      <c r="A46" s="61">
        <f t="shared" si="29"/>
        <v>0.72270598280148979</v>
      </c>
      <c r="B46" s="29">
        <f t="shared" si="29"/>
        <v>2.3233676321765744</v>
      </c>
      <c r="C46" s="29">
        <f t="shared" si="30"/>
        <v>0.52230393757706728</v>
      </c>
      <c r="D46" s="57">
        <f t="shared" si="31"/>
        <v>1.6791116880213415</v>
      </c>
      <c r="E46" s="115">
        <f t="shared" si="32"/>
        <v>4.7861373222837438</v>
      </c>
      <c r="F46" s="115">
        <f t="shared" si="33"/>
        <v>7.9774249718669701</v>
      </c>
      <c r="G46" s="71">
        <f t="shared" si="34"/>
        <v>14.082002089489031</v>
      </c>
    </row>
    <row r="47" spans="1:11" ht="15" thickBot="1" x14ac:dyDescent="0.4">
      <c r="A47" s="61">
        <f t="shared" si="29"/>
        <v>0.79299251552966143</v>
      </c>
      <c r="B47" s="29">
        <f t="shared" si="29"/>
        <v>2.4379897300002487</v>
      </c>
      <c r="C47" s="29">
        <f t="shared" si="30"/>
        <v>0.62883712968606031</v>
      </c>
      <c r="D47" s="57">
        <f t="shared" si="31"/>
        <v>1.9333076088283774</v>
      </c>
      <c r="E47" s="115">
        <f t="shared" si="32"/>
        <v>5.3879573033005492</v>
      </c>
      <c r="F47" s="115">
        <f t="shared" si="33"/>
        <v>0.51965882908142735</v>
      </c>
      <c r="G47" s="71">
        <f t="shared" si="34"/>
        <v>3.7522704299764467E-2</v>
      </c>
    </row>
    <row r="48" spans="1:11" ht="15" thickBot="1" x14ac:dyDescent="0.4">
      <c r="A48" s="61">
        <f t="shared" si="29"/>
        <v>0.79299251552966143</v>
      </c>
      <c r="B48" s="29">
        <f t="shared" si="29"/>
        <v>2.6390573296152584</v>
      </c>
      <c r="C48" s="29">
        <f t="shared" si="30"/>
        <v>0.62883712968606031</v>
      </c>
      <c r="D48" s="57">
        <f t="shared" si="31"/>
        <v>2.0927527104385946</v>
      </c>
      <c r="E48" s="115">
        <f t="shared" si="32"/>
        <v>5.8323166984497208</v>
      </c>
      <c r="F48" s="115">
        <f t="shared" si="33"/>
        <v>3.345703179354655</v>
      </c>
      <c r="G48" s="71">
        <f t="shared" si="34"/>
        <v>7.5279323858177065</v>
      </c>
      <c r="H48" s="172" t="s">
        <v>33</v>
      </c>
      <c r="I48" s="172"/>
      <c r="J48" s="172"/>
      <c r="K48" s="173"/>
    </row>
    <row r="49" spans="1:11" ht="15" thickBot="1" x14ac:dyDescent="0.4">
      <c r="A49" s="61">
        <f t="shared" si="29"/>
        <v>0.82417544296634937</v>
      </c>
      <c r="B49" s="29">
        <f t="shared" si="29"/>
        <v>2.7053799725463312</v>
      </c>
      <c r="C49" s="29">
        <f t="shared" si="30"/>
        <v>0.67926516078877819</v>
      </c>
      <c r="D49" s="57">
        <f t="shared" si="31"/>
        <v>2.2297077372656626</v>
      </c>
      <c r="E49" s="115">
        <f t="shared" si="32"/>
        <v>6.168266337405635</v>
      </c>
      <c r="F49" s="115">
        <f t="shared" si="33"/>
        <v>5.3052116830307638E-2</v>
      </c>
      <c r="G49" s="71">
        <f t="shared" si="34"/>
        <v>0.13778906829274642</v>
      </c>
      <c r="H49" s="174" t="s">
        <v>8</v>
      </c>
      <c r="I49" s="175"/>
      <c r="J49" s="103" t="s">
        <v>12</v>
      </c>
      <c r="K49" s="104" t="s">
        <v>14</v>
      </c>
    </row>
    <row r="50" spans="1:11" x14ac:dyDescent="0.35">
      <c r="A50" s="61">
        <f t="shared" si="29"/>
        <v>0.84156718567821853</v>
      </c>
      <c r="B50" s="29">
        <f t="shared" si="29"/>
        <v>2.7719635268458629</v>
      </c>
      <c r="C50" s="29">
        <f t="shared" si="30"/>
        <v>0.70823532801035716</v>
      </c>
      <c r="D50" s="57">
        <f t="shared" si="31"/>
        <v>2.3327935440903418</v>
      </c>
      <c r="E50" s="115">
        <f t="shared" si="32"/>
        <v>6.4309553822824013</v>
      </c>
      <c r="F50" s="115">
        <f t="shared" si="33"/>
        <v>1.4372088648839263</v>
      </c>
      <c r="G50" s="71">
        <f t="shared" si="34"/>
        <v>0.86315651055747289</v>
      </c>
      <c r="H50" s="113">
        <f>+U1</f>
        <v>27</v>
      </c>
      <c r="I50" s="106">
        <f>+B30</f>
        <v>55.620000000000005</v>
      </c>
      <c r="J50" s="105" t="s">
        <v>29</v>
      </c>
      <c r="K50" s="106">
        <f>+B62</f>
        <v>50.361125121973011</v>
      </c>
    </row>
    <row r="51" spans="1:11" ht="15" thickBot="1" x14ac:dyDescent="0.4">
      <c r="A51" s="61">
        <f t="shared" si="29"/>
        <v>0.85441532815606758</v>
      </c>
      <c r="B51" s="29">
        <f t="shared" si="29"/>
        <v>2.8997718824080798</v>
      </c>
      <c r="C51" s="29">
        <f t="shared" si="30"/>
        <v>0.73002555298804062</v>
      </c>
      <c r="D51" s="57">
        <f t="shared" si="31"/>
        <v>2.4776095444854374</v>
      </c>
      <c r="E51" s="115">
        <f t="shared" si="32"/>
        <v>6.8144639236589875</v>
      </c>
      <c r="F51" s="115">
        <f t="shared" si="33"/>
        <v>0.43856344351137211</v>
      </c>
      <c r="G51" s="71">
        <f t="shared" si="34"/>
        <v>0.54452950176440251</v>
      </c>
      <c r="H51" s="110">
        <f>+B30</f>
        <v>55.620000000000005</v>
      </c>
      <c r="I51" s="94">
        <f>+D30</f>
        <v>118.41100000000002</v>
      </c>
      <c r="J51" s="93" t="s">
        <v>31</v>
      </c>
      <c r="K51" s="94">
        <f>+E62</f>
        <v>117.94687966271719</v>
      </c>
    </row>
    <row r="52" spans="1:11" x14ac:dyDescent="0.35">
      <c r="A52" s="61">
        <f t="shared" si="29"/>
        <v>0.85441532815606758</v>
      </c>
      <c r="B52" s="29">
        <f t="shared" si="29"/>
        <v>2.8942531046041373</v>
      </c>
      <c r="C52" s="29">
        <f t="shared" si="30"/>
        <v>0.73002555298804062</v>
      </c>
      <c r="D52" s="57">
        <f t="shared" si="31"/>
        <v>2.4728942161370613</v>
      </c>
      <c r="E52" s="115">
        <f t="shared" si="32"/>
        <v>6.8014947958197229</v>
      </c>
      <c r="F52" s="115">
        <f t="shared" si="33"/>
        <v>0.58101168902808498</v>
      </c>
      <c r="G52" s="71">
        <f t="shared" si="34"/>
        <v>0.70211398628285315</v>
      </c>
    </row>
    <row r="53" spans="1:11" ht="15" thickBot="1" x14ac:dyDescent="0.4">
      <c r="A53" s="61">
        <f t="shared" si="29"/>
        <v>0.86288995514703981</v>
      </c>
      <c r="B53" s="29">
        <f t="shared" si="29"/>
        <v>2.8338014064077703</v>
      </c>
      <c r="C53" s="29">
        <f t="shared" si="30"/>
        <v>0.74457907469366036</v>
      </c>
      <c r="D53" s="57">
        <f t="shared" si="31"/>
        <v>2.4452587684708194</v>
      </c>
      <c r="E53" s="115">
        <f t="shared" si="32"/>
        <v>6.7161093331864157</v>
      </c>
      <c r="F53" s="115">
        <f t="shared" si="33"/>
        <v>8.9480265303972022</v>
      </c>
      <c r="G53" s="71">
        <f t="shared" si="34"/>
        <v>11.236447476556542</v>
      </c>
    </row>
    <row r="54" spans="1:11" x14ac:dyDescent="0.35">
      <c r="A54" s="61">
        <f t="shared" si="29"/>
        <v>0.86288995514703981</v>
      </c>
      <c r="B54" s="29">
        <f t="shared" si="29"/>
        <v>2.8825635754483532</v>
      </c>
      <c r="C54" s="29">
        <f t="shared" si="30"/>
        <v>0.74457907469366036</v>
      </c>
      <c r="D54" s="57">
        <f t="shared" si="31"/>
        <v>2.4873351543271203</v>
      </c>
      <c r="E54" s="115">
        <f t="shared" si="32"/>
        <v>6.8316756738125974</v>
      </c>
      <c r="F54" s="115">
        <f t="shared" si="33"/>
        <v>4.5852736681643096</v>
      </c>
      <c r="G54" s="71">
        <f t="shared" si="34"/>
        <v>6.2604096634637578</v>
      </c>
      <c r="H54" s="111" t="s">
        <v>29</v>
      </c>
      <c r="I54" s="98" cm="1">
        <f t="array" ref="I54:I55">+MMULT(MINVERSE(H50:I51),K50:K51)</f>
        <v>-5.7663923041483187</v>
      </c>
      <c r="J54" s="97" t="s">
        <v>32</v>
      </c>
      <c r="K54" s="99">
        <f>+EXP(I54)</f>
        <v>3.1310329773984466E-3</v>
      </c>
    </row>
    <row r="55" spans="1:11" ht="15" thickBot="1" x14ac:dyDescent="0.4">
      <c r="A55" s="61">
        <f t="shared" si="29"/>
        <v>0.86710048768338333</v>
      </c>
      <c r="B55" s="29">
        <f t="shared" si="29"/>
        <v>2.8564702062204832</v>
      </c>
      <c r="C55" s="29">
        <f t="shared" si="30"/>
        <v>0.75186325574076118</v>
      </c>
      <c r="D55" s="57">
        <f t="shared" si="31"/>
        <v>2.4768467088668356</v>
      </c>
      <c r="E55" s="115">
        <f t="shared" si="32"/>
        <v>6.7983990908047494</v>
      </c>
      <c r="F55" s="115">
        <f t="shared" si="33"/>
        <v>10.296942345093575</v>
      </c>
      <c r="G55" s="71">
        <f t="shared" si="34"/>
        <v>13.91719789400268</v>
      </c>
      <c r="H55" s="112" t="s">
        <v>31</v>
      </c>
      <c r="I55" s="101">
        <v>3.7046694953969421</v>
      </c>
      <c r="J55" s="100" t="s">
        <v>31</v>
      </c>
      <c r="K55" s="102">
        <f>+I55</f>
        <v>3.7046694953969421</v>
      </c>
    </row>
    <row r="56" spans="1:11" ht="15" thickBot="1" x14ac:dyDescent="0.4">
      <c r="A56" s="61">
        <f t="shared" si="29"/>
        <v>0.86710048768338333</v>
      </c>
      <c r="B56" s="29">
        <f t="shared" si="29"/>
        <v>2.8639136989331431</v>
      </c>
      <c r="C56" s="29">
        <f t="shared" si="30"/>
        <v>0.75186325574076118</v>
      </c>
      <c r="D56" s="57">
        <f t="shared" si="31"/>
        <v>2.4833009650280506</v>
      </c>
      <c r="E56" s="115">
        <f t="shared" si="32"/>
        <v>6.8161146034608802</v>
      </c>
      <c r="F56" s="115">
        <f t="shared" si="33"/>
        <v>9.4795322693253681</v>
      </c>
      <c r="G56" s="71">
        <f t="shared" si="34"/>
        <v>12.964148113016767</v>
      </c>
    </row>
    <row r="57" spans="1:11" ht="15" thickBot="1" x14ac:dyDescent="0.4">
      <c r="A57" s="61">
        <f t="shared" si="29"/>
        <v>0.87129336594341933</v>
      </c>
      <c r="B57" s="29">
        <f t="shared" si="29"/>
        <v>2.933324813425374</v>
      </c>
      <c r="C57" s="29">
        <f t="shared" si="30"/>
        <v>0.75915212953701328</v>
      </c>
      <c r="D57" s="57">
        <f t="shared" si="31"/>
        <v>2.5557864500947467</v>
      </c>
      <c r="E57" s="115">
        <f t="shared" si="32"/>
        <v>7.0106463040866442</v>
      </c>
      <c r="F57" s="115">
        <f t="shared" si="33"/>
        <v>5.9645152523825233</v>
      </c>
      <c r="G57" s="71">
        <f t="shared" si="34"/>
        <v>9.8475161604705512</v>
      </c>
      <c r="J57" s="67" t="s">
        <v>58</v>
      </c>
      <c r="K57" s="69">
        <f>+SQRT(G62/A29)</f>
        <v>3.5450088561421027</v>
      </c>
    </row>
    <row r="58" spans="1:11" x14ac:dyDescent="0.35">
      <c r="A58" s="61">
        <f t="shared" si="29"/>
        <v>0.87546873735389985</v>
      </c>
      <c r="B58" s="29">
        <f t="shared" si="29"/>
        <v>2.8942531046041373</v>
      </c>
      <c r="C58" s="29">
        <f t="shared" si="30"/>
        <v>0.76644551008403172</v>
      </c>
      <c r="D58" s="57">
        <f t="shared" si="31"/>
        <v>2.5338281110703886</v>
      </c>
      <c r="E58" s="115">
        <f t="shared" si="32"/>
        <v>6.9462074510499292</v>
      </c>
      <c r="F58" s="115">
        <f t="shared" si="33"/>
        <v>14.453070286480859</v>
      </c>
      <c r="G58" s="71">
        <f t="shared" si="34"/>
        <v>21.955533138170139</v>
      </c>
    </row>
    <row r="59" spans="1:11" x14ac:dyDescent="0.35">
      <c r="A59" s="61">
        <f t="shared" si="29"/>
        <v>0.87546873735389985</v>
      </c>
      <c r="B59" s="29">
        <f t="shared" si="29"/>
        <v>2.9606230964404232</v>
      </c>
      <c r="C59" s="29">
        <f t="shared" si="30"/>
        <v>0.76644551008403172</v>
      </c>
      <c r="D59" s="57">
        <f t="shared" si="31"/>
        <v>2.5919329640214905</v>
      </c>
      <c r="E59" s="115">
        <f t="shared" si="32"/>
        <v>7.1054954314570153</v>
      </c>
      <c r="F59" s="115">
        <f t="shared" si="33"/>
        <v>6.5624062103122389</v>
      </c>
      <c r="G59" s="71">
        <f t="shared" si="34"/>
        <v>11.872663654840242</v>
      </c>
    </row>
    <row r="60" spans="1:11" x14ac:dyDescent="0.35">
      <c r="A60" s="61">
        <f t="shared" si="29"/>
        <v>0.90016134994427144</v>
      </c>
      <c r="B60" s="29">
        <f t="shared" si="29"/>
        <v>2.9423314968268759</v>
      </c>
      <c r="C60" s="29">
        <f t="shared" si="30"/>
        <v>0.81029045593349314</v>
      </c>
      <c r="D60" s="57">
        <f t="shared" si="31"/>
        <v>2.6485730921672292</v>
      </c>
      <c r="E60" s="115">
        <f t="shared" si="32"/>
        <v>7.2381354821941146</v>
      </c>
      <c r="F60" s="115">
        <f t="shared" si="33"/>
        <v>50.513814529112814</v>
      </c>
      <c r="G60" s="71">
        <f t="shared" si="34"/>
        <v>89.492423693023895</v>
      </c>
    </row>
    <row r="61" spans="1:11" ht="15" thickBot="1" x14ac:dyDescent="0.4">
      <c r="A61" s="75">
        <f>+LN(B29)</f>
        <v>0.90016134994427144</v>
      </c>
      <c r="B61" s="78">
        <f t="shared" ref="B61" si="35">+LN(C29)</f>
        <v>2.9423314968268759</v>
      </c>
      <c r="C61" s="78">
        <f t="shared" si="30"/>
        <v>0.81029045593349314</v>
      </c>
      <c r="D61" s="108">
        <f t="shared" si="31"/>
        <v>2.6485730921672292</v>
      </c>
      <c r="E61" s="116">
        <f t="shared" si="32"/>
        <v>7.2381354821941146</v>
      </c>
      <c r="F61" s="116">
        <f t="shared" si="33"/>
        <v>50.513814529112814</v>
      </c>
      <c r="G61" s="72">
        <f t="shared" si="34"/>
        <v>89.492423693023895</v>
      </c>
    </row>
    <row r="62" spans="1:11" ht="15" thickBot="1" x14ac:dyDescent="0.4">
      <c r="A62" s="53">
        <f>+SUM(A35:A61)</f>
        <v>19.002834890738676</v>
      </c>
      <c r="B62" s="53">
        <f>+SUM(B35:B61)</f>
        <v>50.361125121973011</v>
      </c>
      <c r="C62" s="53">
        <f t="shared" ref="C62:G62" si="36">+SUM(C35:C61)</f>
        <v>14.45943332470774</v>
      </c>
      <c r="D62" s="53">
        <f t="shared" si="36"/>
        <v>43.156082168321674</v>
      </c>
      <c r="E62" s="48">
        <f t="shared" si="36"/>
        <v>117.94687966271719</v>
      </c>
      <c r="F62" s="48">
        <f t="shared" si="36"/>
        <v>206.87249351716315</v>
      </c>
      <c r="G62" s="48">
        <f t="shared" si="36"/>
        <v>339.31137033340042</v>
      </c>
    </row>
  </sheetData>
  <mergeCells count="5">
    <mergeCell ref="T3:X3"/>
    <mergeCell ref="H35:I35"/>
    <mergeCell ref="H34:K34"/>
    <mergeCell ref="H48:K48"/>
    <mergeCell ref="H49:I49"/>
  </mergeCells>
  <phoneticPr fontId="2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shapeId="1025" r:id="rId3">
          <objectPr defaultSize="0" r:id="rId4">
            <anchor moveWithCells="1">
              <from>
                <xdr:col>11</xdr:col>
                <xdr:colOff>69850</xdr:colOff>
                <xdr:row>32</xdr:row>
                <xdr:rowOff>412750</xdr:rowOff>
              </from>
              <to>
                <xdr:col>12</xdr:col>
                <xdr:colOff>495300</xdr:colOff>
                <xdr:row>35</xdr:row>
                <xdr:rowOff>107950</xdr:rowOff>
              </to>
            </anchor>
          </objectPr>
        </oleObject>
      </mc:Choice>
      <mc:Fallback>
        <oleObject shapeId="1025" r:id="rId3"/>
      </mc:Fallback>
    </mc:AlternateContent>
    <mc:AlternateContent xmlns:mc="http://schemas.openxmlformats.org/markup-compatibility/2006">
      <mc:Choice Requires="x14">
        <oleObject shapeId="1026" r:id="rId5">
          <objectPr defaultSize="0" r:id="rId6">
            <anchor moveWithCells="1">
              <from>
                <xdr:col>11</xdr:col>
                <xdr:colOff>50800</xdr:colOff>
                <xdr:row>35</xdr:row>
                <xdr:rowOff>133350</xdr:rowOff>
              </from>
              <to>
                <xdr:col>13</xdr:col>
                <xdr:colOff>304800</xdr:colOff>
                <xdr:row>37</xdr:row>
                <xdr:rowOff>127000</xdr:rowOff>
              </to>
            </anchor>
          </objectPr>
        </oleObject>
      </mc:Choice>
      <mc:Fallback>
        <oleObject shapeId="1026" r:id="rId5"/>
      </mc:Fallback>
    </mc:AlternateContent>
    <mc:AlternateContent xmlns:mc="http://schemas.openxmlformats.org/markup-compatibility/2006">
      <mc:Choice Requires="x14">
        <oleObject shapeId="1027" r:id="rId7">
          <objectPr defaultSize="0" r:id="rId8">
            <anchor moveWithCells="1">
              <from>
                <xdr:col>11</xdr:col>
                <xdr:colOff>38100</xdr:colOff>
                <xdr:row>47</xdr:row>
                <xdr:rowOff>0</xdr:rowOff>
              </from>
              <to>
                <xdr:col>13</xdr:col>
                <xdr:colOff>0</xdr:colOff>
                <xdr:row>49</xdr:row>
                <xdr:rowOff>25400</xdr:rowOff>
              </to>
            </anchor>
          </objectPr>
        </oleObject>
      </mc:Choice>
      <mc:Fallback>
        <oleObject shapeId="1027" r:id="rId7"/>
      </mc:Fallback>
    </mc:AlternateContent>
    <mc:AlternateContent xmlns:mc="http://schemas.openxmlformats.org/markup-compatibility/2006">
      <mc:Choice Requires="x14">
        <oleObject shapeId="1028" r:id="rId9">
          <objectPr defaultSize="0" r:id="rId10">
            <anchor moveWithCells="1">
              <from>
                <xdr:col>11</xdr:col>
                <xdr:colOff>38100</xdr:colOff>
                <xdr:row>49</xdr:row>
                <xdr:rowOff>50800</xdr:rowOff>
              </from>
              <to>
                <xdr:col>15</xdr:col>
                <xdr:colOff>196850</xdr:colOff>
                <xdr:row>51</xdr:row>
                <xdr:rowOff>139700</xdr:rowOff>
              </to>
            </anchor>
          </objectPr>
        </oleObject>
      </mc:Choice>
      <mc:Fallback>
        <oleObject shapeId="1028" r:id="rId9"/>
      </mc:Fallback>
    </mc:AlternateContent>
    <mc:AlternateContent xmlns:mc="http://schemas.openxmlformats.org/markup-compatibility/2006">
      <mc:Choice Requires="x14">
        <oleObject shapeId="1029" r:id="rId11">
          <objectPr defaultSize="0" r:id="rId12">
            <anchor moveWithCells="1">
              <from>
                <xdr:col>12</xdr:col>
                <xdr:colOff>0</xdr:colOff>
                <xdr:row>52</xdr:row>
                <xdr:rowOff>0</xdr:rowOff>
              </from>
              <to>
                <xdr:col>13</xdr:col>
                <xdr:colOff>571500</xdr:colOff>
                <xdr:row>54</xdr:row>
                <xdr:rowOff>57150</xdr:rowOff>
              </to>
            </anchor>
          </objectPr>
        </oleObject>
      </mc:Choice>
      <mc:Fallback>
        <oleObject shapeId="1029" r:id="rId11"/>
      </mc:Fallback>
    </mc:AlternateContent>
    <mc:AlternateContent xmlns:mc="http://schemas.openxmlformats.org/markup-compatibility/2006">
      <mc:Choice Requires="x14">
        <oleObject shapeId="1030" r:id="rId13">
          <objectPr defaultSize="0" r:id="rId14">
            <anchor moveWithCells="1">
              <from>
                <xdr:col>12</xdr:col>
                <xdr:colOff>0</xdr:colOff>
                <xdr:row>54</xdr:row>
                <xdr:rowOff>82550</xdr:rowOff>
              </from>
              <to>
                <xdr:col>13</xdr:col>
                <xdr:colOff>571500</xdr:colOff>
                <xdr:row>56</xdr:row>
                <xdr:rowOff>133350</xdr:rowOff>
              </to>
            </anchor>
          </objectPr>
        </oleObject>
      </mc:Choice>
      <mc:Fallback>
        <oleObject shapeId="1030" r:id="rId1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D92BE-7BC2-44D7-BDC3-3A118357E1AE}">
  <dimension ref="A1:I35"/>
  <sheetViews>
    <sheetView zoomScale="115" zoomScaleNormal="115" workbookViewId="0">
      <selection activeCell="J38" sqref="J38"/>
    </sheetView>
  </sheetViews>
  <sheetFormatPr baseColWidth="10" defaultRowHeight="14.5" x14ac:dyDescent="0.35"/>
  <sheetData>
    <row r="1" spans="1:8" x14ac:dyDescent="0.35">
      <c r="A1" s="13" t="s">
        <v>61</v>
      </c>
      <c r="B1" s="14"/>
      <c r="C1" s="14"/>
    </row>
    <row r="2" spans="1:8" ht="16" thickBot="1" x14ac:dyDescent="0.4">
      <c r="A2" s="8" t="s">
        <v>44</v>
      </c>
      <c r="B2" s="16" t="s">
        <v>42</v>
      </c>
      <c r="C2" s="7" t="s">
        <v>43</v>
      </c>
      <c r="D2" s="123" t="s">
        <v>41</v>
      </c>
    </row>
    <row r="3" spans="1:8" ht="15" thickBot="1" x14ac:dyDescent="0.4">
      <c r="A3" s="9">
        <v>0</v>
      </c>
      <c r="B3" s="4">
        <v>0</v>
      </c>
      <c r="C3" s="10">
        <v>0</v>
      </c>
      <c r="D3" s="4">
        <f>+MOD(A3,2)</f>
        <v>0</v>
      </c>
      <c r="E3" s="121" t="s">
        <v>60</v>
      </c>
      <c r="G3" s="18" t="s">
        <v>37</v>
      </c>
      <c r="H3" s="18">
        <v>180</v>
      </c>
    </row>
    <row r="4" spans="1:8" ht="15" thickBot="1" x14ac:dyDescent="0.4">
      <c r="A4" s="12">
        <v>1</v>
      </c>
      <c r="B4" s="4">
        <v>180</v>
      </c>
      <c r="C4" s="117">
        <v>8.2799999999999994</v>
      </c>
      <c r="D4" s="120">
        <f>+MOD(A4,2)</f>
        <v>1</v>
      </c>
      <c r="E4" s="4" t="str">
        <f>+IF(D4=1,"impar","par")</f>
        <v>impar</v>
      </c>
    </row>
    <row r="5" spans="1:8" ht="18" customHeight="1" thickBot="1" x14ac:dyDescent="0.4">
      <c r="A5" s="11">
        <v>2</v>
      </c>
      <c r="B5" s="4">
        <v>360</v>
      </c>
      <c r="C5" s="118">
        <v>15.22</v>
      </c>
      <c r="D5" s="4">
        <f t="shared" ref="D5:D35" si="0">+MOD(A5,2)</f>
        <v>0</v>
      </c>
      <c r="E5" s="4" t="str">
        <f t="shared" ref="E5:E34" si="1">+IF(D5=1,"impar","par")</f>
        <v>par</v>
      </c>
      <c r="G5" s="176" t="s">
        <v>40</v>
      </c>
      <c r="H5" s="177"/>
    </row>
    <row r="6" spans="1:8" ht="15" thickBot="1" x14ac:dyDescent="0.4">
      <c r="A6" s="12">
        <v>3</v>
      </c>
      <c r="B6" s="4">
        <v>540</v>
      </c>
      <c r="C6" s="117">
        <v>23.5</v>
      </c>
      <c r="D6" s="4">
        <f t="shared" si="0"/>
        <v>1</v>
      </c>
      <c r="E6" s="4" t="str">
        <f t="shared" si="1"/>
        <v>impar</v>
      </c>
    </row>
    <row r="7" spans="1:8" ht="15" thickBot="1" x14ac:dyDescent="0.4">
      <c r="A7" s="11">
        <v>4</v>
      </c>
      <c r="B7" s="4">
        <v>720</v>
      </c>
      <c r="C7" s="118">
        <v>38</v>
      </c>
      <c r="D7" s="4">
        <f t="shared" si="0"/>
        <v>0</v>
      </c>
      <c r="E7" s="4" t="str">
        <f t="shared" si="1"/>
        <v>par</v>
      </c>
      <c r="G7" s="18" t="s">
        <v>39</v>
      </c>
      <c r="H7" s="19">
        <f>(H3/3)*(C3+2*SUMIFS(C4:C34,D4:D34,0)+4*SUMIFS(C4:C34,D4:D34,1)+C35)</f>
        <v>182232</v>
      </c>
    </row>
    <row r="8" spans="1:8" ht="15" thickBot="1" x14ac:dyDescent="0.4">
      <c r="A8" s="12">
        <v>5</v>
      </c>
      <c r="B8" s="4">
        <v>900</v>
      </c>
      <c r="C8" s="117">
        <v>50.74</v>
      </c>
      <c r="D8" s="4">
        <f t="shared" si="0"/>
        <v>1</v>
      </c>
      <c r="E8" s="4" t="str">
        <f t="shared" si="1"/>
        <v>impar</v>
      </c>
    </row>
    <row r="9" spans="1:8" ht="15" customHeight="1" thickBot="1" x14ac:dyDescent="0.4">
      <c r="A9" s="11">
        <v>6</v>
      </c>
      <c r="B9" s="4">
        <v>1080</v>
      </c>
      <c r="C9" s="118">
        <v>91.31</v>
      </c>
      <c r="D9" s="4">
        <f t="shared" si="0"/>
        <v>0</v>
      </c>
      <c r="E9" s="4" t="str">
        <f t="shared" si="1"/>
        <v>par</v>
      </c>
      <c r="G9" s="176" t="s">
        <v>38</v>
      </c>
      <c r="H9" s="177"/>
    </row>
    <row r="10" spans="1:8" ht="15" thickBot="1" x14ac:dyDescent="0.4">
      <c r="A10" s="12">
        <v>7</v>
      </c>
      <c r="B10" s="4">
        <v>1260</v>
      </c>
      <c r="C10" s="117">
        <v>113</v>
      </c>
      <c r="D10" s="4">
        <f t="shared" si="0"/>
        <v>1</v>
      </c>
      <c r="E10" s="4" t="str">
        <f t="shared" si="1"/>
        <v>impar</v>
      </c>
    </row>
    <row r="11" spans="1:8" ht="15" thickBot="1" x14ac:dyDescent="0.4">
      <c r="A11" s="11">
        <v>8</v>
      </c>
      <c r="B11" s="4">
        <v>1440</v>
      </c>
      <c r="C11" s="118">
        <v>115.82</v>
      </c>
      <c r="D11" s="4">
        <f t="shared" si="0"/>
        <v>0</v>
      </c>
      <c r="E11" s="4" t="str">
        <f t="shared" si="1"/>
        <v>par</v>
      </c>
      <c r="G11" s="18" t="s">
        <v>39</v>
      </c>
      <c r="H11" s="19">
        <f>+(H3/2)*((C3+2*SUM(C4:C34)+C35))</f>
        <v>183009.6</v>
      </c>
    </row>
    <row r="12" spans="1:8" x14ac:dyDescent="0.35">
      <c r="A12" s="12">
        <v>9</v>
      </c>
      <c r="B12" s="4">
        <v>1620</v>
      </c>
      <c r="C12" s="117">
        <v>104.87</v>
      </c>
      <c r="D12" s="4">
        <f t="shared" si="0"/>
        <v>1</v>
      </c>
      <c r="E12" s="4" t="str">
        <f t="shared" si="1"/>
        <v>impar</v>
      </c>
    </row>
    <row r="13" spans="1:8" x14ac:dyDescent="0.35">
      <c r="A13" s="11">
        <v>10</v>
      </c>
      <c r="B13" s="4">
        <v>1800</v>
      </c>
      <c r="C13" s="118">
        <v>91.49</v>
      </c>
      <c r="D13" s="4">
        <f t="shared" si="0"/>
        <v>0</v>
      </c>
      <c r="E13" s="4" t="str">
        <f t="shared" si="1"/>
        <v>par</v>
      </c>
    </row>
    <row r="14" spans="1:8" x14ac:dyDescent="0.35">
      <c r="A14" s="12">
        <v>11</v>
      </c>
      <c r="B14" s="4">
        <v>1980</v>
      </c>
      <c r="C14" s="117">
        <v>73.37</v>
      </c>
      <c r="D14" s="4">
        <f t="shared" si="0"/>
        <v>1</v>
      </c>
      <c r="E14" s="4" t="str">
        <f t="shared" si="1"/>
        <v>impar</v>
      </c>
    </row>
    <row r="15" spans="1:8" x14ac:dyDescent="0.35">
      <c r="A15" s="11">
        <v>12</v>
      </c>
      <c r="B15" s="4">
        <v>2160</v>
      </c>
      <c r="C15" s="118">
        <v>57.5</v>
      </c>
      <c r="D15" s="4">
        <f t="shared" si="0"/>
        <v>0</v>
      </c>
      <c r="E15" s="4" t="str">
        <f t="shared" si="1"/>
        <v>par</v>
      </c>
    </row>
    <row r="16" spans="1:8" x14ac:dyDescent="0.35">
      <c r="A16" s="12">
        <v>13</v>
      </c>
      <c r="B16" s="4">
        <v>2340</v>
      </c>
      <c r="C16" s="117">
        <v>45.86</v>
      </c>
      <c r="D16" s="4">
        <f t="shared" si="0"/>
        <v>1</v>
      </c>
      <c r="E16" s="4" t="str">
        <f t="shared" si="1"/>
        <v>impar</v>
      </c>
    </row>
    <row r="17" spans="1:9" x14ac:dyDescent="0.35">
      <c r="A17" s="11">
        <v>14</v>
      </c>
      <c r="B17" s="4">
        <v>2520</v>
      </c>
      <c r="C17" s="118">
        <v>37.76</v>
      </c>
      <c r="D17" s="4">
        <f t="shared" si="0"/>
        <v>0</v>
      </c>
      <c r="E17" s="4" t="str">
        <f t="shared" si="1"/>
        <v>par</v>
      </c>
    </row>
    <row r="18" spans="1:9" x14ac:dyDescent="0.35">
      <c r="A18" s="12">
        <v>15</v>
      </c>
      <c r="B18" s="4">
        <v>2700</v>
      </c>
      <c r="C18" s="117">
        <v>28.69</v>
      </c>
      <c r="D18" s="4">
        <f t="shared" si="0"/>
        <v>1</v>
      </c>
      <c r="E18" s="4" t="str">
        <f t="shared" si="1"/>
        <v>impar</v>
      </c>
    </row>
    <row r="19" spans="1:9" x14ac:dyDescent="0.35">
      <c r="A19" s="11">
        <v>16</v>
      </c>
      <c r="B19" s="4">
        <v>2880</v>
      </c>
      <c r="C19" s="118">
        <v>24.01</v>
      </c>
      <c r="D19" s="4">
        <f t="shared" si="0"/>
        <v>0</v>
      </c>
      <c r="E19" s="4" t="str">
        <f t="shared" si="1"/>
        <v>par</v>
      </c>
    </row>
    <row r="20" spans="1:9" x14ac:dyDescent="0.35">
      <c r="A20" s="12">
        <v>17</v>
      </c>
      <c r="B20" s="4">
        <v>3060</v>
      </c>
      <c r="C20" s="117">
        <v>20.329999999999998</v>
      </c>
      <c r="D20" s="4">
        <f t="shared" si="0"/>
        <v>1</v>
      </c>
      <c r="E20" s="4" t="str">
        <f t="shared" si="1"/>
        <v>impar</v>
      </c>
    </row>
    <row r="21" spans="1:9" x14ac:dyDescent="0.35">
      <c r="A21" s="11">
        <v>18</v>
      </c>
      <c r="B21" s="4">
        <v>3240</v>
      </c>
      <c r="C21" s="118">
        <v>17.37</v>
      </c>
      <c r="D21" s="4">
        <f t="shared" si="0"/>
        <v>0</v>
      </c>
      <c r="E21" s="4" t="str">
        <f t="shared" si="1"/>
        <v>par</v>
      </c>
    </row>
    <row r="22" spans="1:9" x14ac:dyDescent="0.35">
      <c r="A22" s="12">
        <v>19</v>
      </c>
      <c r="B22" s="4">
        <v>3420</v>
      </c>
      <c r="C22" s="117">
        <v>11.67</v>
      </c>
      <c r="D22" s="4">
        <f t="shared" si="0"/>
        <v>1</v>
      </c>
      <c r="E22" s="4" t="str">
        <f t="shared" si="1"/>
        <v>impar</v>
      </c>
    </row>
    <row r="23" spans="1:9" ht="15.5" x14ac:dyDescent="0.35">
      <c r="A23" s="11">
        <v>20</v>
      </c>
      <c r="B23" s="4">
        <v>3600</v>
      </c>
      <c r="C23" s="118">
        <v>8.8800000000000008</v>
      </c>
      <c r="D23" s="4">
        <f t="shared" si="0"/>
        <v>0</v>
      </c>
      <c r="E23" s="4" t="str">
        <f t="shared" si="1"/>
        <v>par</v>
      </c>
      <c r="H23" s="20"/>
      <c r="I23" s="21"/>
    </row>
    <row r="24" spans="1:9" x14ac:dyDescent="0.35">
      <c r="A24" s="12">
        <v>21</v>
      </c>
      <c r="B24" s="4">
        <v>3780</v>
      </c>
      <c r="C24" s="117">
        <v>7.38</v>
      </c>
      <c r="D24" s="4">
        <f t="shared" si="0"/>
        <v>1</v>
      </c>
      <c r="E24" s="4" t="str">
        <f t="shared" si="1"/>
        <v>impar</v>
      </c>
    </row>
    <row r="25" spans="1:9" x14ac:dyDescent="0.35">
      <c r="A25" s="11">
        <v>22</v>
      </c>
      <c r="B25" s="4">
        <v>3960</v>
      </c>
      <c r="C25" s="118">
        <v>6.34</v>
      </c>
      <c r="D25" s="4">
        <f t="shared" si="0"/>
        <v>0</v>
      </c>
      <c r="E25" s="4" t="str">
        <f t="shared" si="1"/>
        <v>par</v>
      </c>
    </row>
    <row r="26" spans="1:9" x14ac:dyDescent="0.35">
      <c r="A26" s="12">
        <v>23</v>
      </c>
      <c r="B26" s="4">
        <v>4140</v>
      </c>
      <c r="C26" s="117">
        <v>5.4</v>
      </c>
      <c r="D26" s="4">
        <f t="shared" si="0"/>
        <v>1</v>
      </c>
      <c r="E26" s="4" t="str">
        <f t="shared" si="1"/>
        <v>impar</v>
      </c>
    </row>
    <row r="27" spans="1:9" x14ac:dyDescent="0.35">
      <c r="A27" s="11">
        <v>24</v>
      </c>
      <c r="B27" s="4">
        <v>4320</v>
      </c>
      <c r="C27" s="118">
        <v>4.6399999999999997</v>
      </c>
      <c r="D27" s="4">
        <f t="shared" si="0"/>
        <v>0</v>
      </c>
      <c r="E27" s="4" t="str">
        <f t="shared" si="1"/>
        <v>par</v>
      </c>
    </row>
    <row r="28" spans="1:9" x14ac:dyDescent="0.35">
      <c r="A28" s="12">
        <v>25</v>
      </c>
      <c r="B28" s="4">
        <v>4500</v>
      </c>
      <c r="C28" s="117">
        <v>3.94</v>
      </c>
      <c r="D28" s="4">
        <f t="shared" si="0"/>
        <v>1</v>
      </c>
      <c r="E28" s="4" t="str">
        <f t="shared" si="1"/>
        <v>impar</v>
      </c>
    </row>
    <row r="29" spans="1:9" x14ac:dyDescent="0.35">
      <c r="A29" s="11">
        <v>26</v>
      </c>
      <c r="B29" s="4">
        <v>4680</v>
      </c>
      <c r="C29" s="118">
        <v>3.26</v>
      </c>
      <c r="D29" s="4">
        <f t="shared" si="0"/>
        <v>0</v>
      </c>
      <c r="E29" s="4" t="str">
        <f t="shared" si="1"/>
        <v>par</v>
      </c>
    </row>
    <row r="30" spans="1:9" x14ac:dyDescent="0.35">
      <c r="A30" s="12">
        <v>27</v>
      </c>
      <c r="B30" s="4">
        <v>4860</v>
      </c>
      <c r="C30" s="117">
        <v>2.69</v>
      </c>
      <c r="D30" s="4">
        <f t="shared" si="0"/>
        <v>1</v>
      </c>
      <c r="E30" s="4" t="str">
        <f t="shared" si="1"/>
        <v>impar</v>
      </c>
    </row>
    <row r="31" spans="1:9" x14ac:dyDescent="0.35">
      <c r="A31" s="11">
        <v>28</v>
      </c>
      <c r="B31" s="4">
        <v>5040</v>
      </c>
      <c r="C31" s="118">
        <v>2.06</v>
      </c>
      <c r="D31" s="4">
        <f t="shared" si="0"/>
        <v>0</v>
      </c>
      <c r="E31" s="4" t="str">
        <f t="shared" si="1"/>
        <v>par</v>
      </c>
    </row>
    <row r="32" spans="1:9" x14ac:dyDescent="0.35">
      <c r="A32" s="12">
        <v>29</v>
      </c>
      <c r="B32" s="4">
        <v>5220</v>
      </c>
      <c r="C32" s="117">
        <v>1.54</v>
      </c>
      <c r="D32" s="4">
        <f t="shared" si="0"/>
        <v>1</v>
      </c>
      <c r="E32" s="4" t="str">
        <f t="shared" si="1"/>
        <v>impar</v>
      </c>
    </row>
    <row r="33" spans="1:5" x14ac:dyDescent="0.35">
      <c r="A33" s="11">
        <v>30</v>
      </c>
      <c r="B33" s="4">
        <v>5400</v>
      </c>
      <c r="C33" s="118">
        <v>1.06</v>
      </c>
      <c r="D33" s="4">
        <f t="shared" si="0"/>
        <v>0</v>
      </c>
      <c r="E33" s="4" t="str">
        <f t="shared" si="1"/>
        <v>par</v>
      </c>
    </row>
    <row r="34" spans="1:5" x14ac:dyDescent="0.35">
      <c r="A34" s="12">
        <v>31</v>
      </c>
      <c r="B34" s="4">
        <v>5580</v>
      </c>
      <c r="C34" s="117">
        <v>0.62</v>
      </c>
      <c r="D34" s="4">
        <f t="shared" si="0"/>
        <v>1</v>
      </c>
      <c r="E34" s="4" t="str">
        <f t="shared" si="1"/>
        <v>impar</v>
      </c>
    </row>
    <row r="35" spans="1:5" x14ac:dyDescent="0.35">
      <c r="A35" s="15">
        <v>32</v>
      </c>
      <c r="B35" s="17">
        <v>5760</v>
      </c>
      <c r="C35" s="119">
        <v>0.24</v>
      </c>
      <c r="D35" s="17">
        <f t="shared" si="0"/>
        <v>0</v>
      </c>
      <c r="E35" s="122" t="s">
        <v>59</v>
      </c>
    </row>
  </sheetData>
  <mergeCells count="2">
    <mergeCell ref="G9:H9"/>
    <mergeCell ref="G5:H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A31F4-59AA-4336-8841-AEA296D6187D}">
  <dimension ref="A1:R12"/>
  <sheetViews>
    <sheetView workbookViewId="0">
      <selection activeCell="K24" sqref="K24"/>
    </sheetView>
  </sheetViews>
  <sheetFormatPr baseColWidth="10" defaultRowHeight="14.5" x14ac:dyDescent="0.35"/>
  <sheetData>
    <row r="1" spans="1:18" ht="15" thickBot="1" x14ac:dyDescent="0.4"/>
    <row r="2" spans="1:18" ht="17" thickBot="1" x14ac:dyDescent="0.5">
      <c r="A2" s="132" t="s">
        <v>65</v>
      </c>
      <c r="B2" s="145">
        <v>0.5</v>
      </c>
      <c r="C2" s="126">
        <v>0.75</v>
      </c>
      <c r="D2" s="126">
        <v>1</v>
      </c>
      <c r="E2" s="126">
        <v>1.25</v>
      </c>
      <c r="F2" s="126">
        <v>1.5</v>
      </c>
      <c r="G2" s="126">
        <v>1.75</v>
      </c>
      <c r="H2" s="126">
        <v>2</v>
      </c>
      <c r="I2" s="126">
        <v>2.25</v>
      </c>
      <c r="J2" s="127">
        <v>2.5</v>
      </c>
    </row>
    <row r="3" spans="1:18" ht="17" thickBot="1" x14ac:dyDescent="0.5">
      <c r="A3" s="134" t="s">
        <v>66</v>
      </c>
      <c r="B3" s="146">
        <v>3.2974000000000001</v>
      </c>
      <c r="C3" s="138">
        <v>2.8227000000000002</v>
      </c>
      <c r="D3" s="138">
        <v>2.7183000000000002</v>
      </c>
      <c r="E3" s="138">
        <v>2.7923</v>
      </c>
      <c r="F3" s="138">
        <v>2.9878</v>
      </c>
      <c r="G3" s="138">
        <v>3.2883</v>
      </c>
      <c r="H3" s="138">
        <v>3.6945000000000001</v>
      </c>
      <c r="I3" s="138">
        <v>4.2168000000000001</v>
      </c>
      <c r="J3" s="139">
        <v>4.8730000000000002</v>
      </c>
      <c r="L3" s="144" t="s">
        <v>62</v>
      </c>
      <c r="M3" s="56">
        <f>+C2-B2</f>
        <v>0.25</v>
      </c>
    </row>
    <row r="4" spans="1:18" ht="17" thickBot="1" x14ac:dyDescent="0.5">
      <c r="A4" s="135" t="s">
        <v>67</v>
      </c>
      <c r="B4" s="147">
        <f>+(C3-B3)/$M$3</f>
        <v>-1.8987999999999996</v>
      </c>
      <c r="C4" s="142">
        <f t="shared" ref="C4:I4" si="0">+(D3-B3)/(2*$M$3)</f>
        <v>-1.1581999999999999</v>
      </c>
      <c r="D4" s="142">
        <f t="shared" si="0"/>
        <v>-6.0800000000000409E-2</v>
      </c>
      <c r="E4" s="142">
        <f t="shared" si="0"/>
        <v>0.5389999999999997</v>
      </c>
      <c r="F4" s="142">
        <f t="shared" si="0"/>
        <v>0.99199999999999999</v>
      </c>
      <c r="G4" s="142">
        <f t="shared" si="0"/>
        <v>1.4134000000000002</v>
      </c>
      <c r="H4" s="142">
        <f t="shared" si="0"/>
        <v>1.8570000000000002</v>
      </c>
      <c r="I4" s="142">
        <f t="shared" si="0"/>
        <v>2.3570000000000002</v>
      </c>
      <c r="J4" s="143">
        <f>+(J3-I3)/$M$3</f>
        <v>2.6248000000000005</v>
      </c>
      <c r="L4" s="144" t="s">
        <v>64</v>
      </c>
      <c r="M4" s="56">
        <v>0.125</v>
      </c>
    </row>
    <row r="5" spans="1:18" ht="16.5" x14ac:dyDescent="0.45">
      <c r="A5" s="133" t="s">
        <v>68</v>
      </c>
      <c r="B5" s="128">
        <f>+((EXP(B2))*(B2-1))/(B2^2)</f>
        <v>-3.2974425414002564</v>
      </c>
      <c r="C5" s="124">
        <f t="shared" ref="C5:J5" si="1">+((EXP(C2))*(C2-1))/(C2^2)</f>
        <v>-0.94088889627229988</v>
      </c>
      <c r="D5" s="124">
        <f t="shared" si="1"/>
        <v>0</v>
      </c>
      <c r="E5" s="124">
        <f t="shared" si="1"/>
        <v>0.55845487319389464</v>
      </c>
      <c r="F5" s="124">
        <f t="shared" si="1"/>
        <v>0.99593090451956989</v>
      </c>
      <c r="G5" s="124">
        <f t="shared" si="1"/>
        <v>1.4092904512667095</v>
      </c>
      <c r="H5" s="124">
        <f t="shared" si="1"/>
        <v>1.8472640247326626</v>
      </c>
      <c r="I5" s="124">
        <f t="shared" si="1"/>
        <v>2.3426508237922286</v>
      </c>
      <c r="J5" s="129">
        <f t="shared" si="1"/>
        <v>2.9237985505688333</v>
      </c>
    </row>
    <row r="6" spans="1:18" ht="15" thickBot="1" x14ac:dyDescent="0.4">
      <c r="A6" s="134" t="s">
        <v>63</v>
      </c>
      <c r="B6" s="146">
        <f>+B5-B4</f>
        <v>-1.3986425414002568</v>
      </c>
      <c r="C6" s="138">
        <f t="shared" ref="C6:J6" si="2">+C5-C4</f>
        <v>0.21731110372770002</v>
      </c>
      <c r="D6" s="138">
        <f t="shared" si="2"/>
        <v>6.0800000000000409E-2</v>
      </c>
      <c r="E6" s="138">
        <f t="shared" si="2"/>
        <v>1.9454873193894939E-2</v>
      </c>
      <c r="F6" s="138">
        <f t="shared" si="2"/>
        <v>3.9309045195698999E-3</v>
      </c>
      <c r="G6" s="138">
        <f t="shared" si="2"/>
        <v>-4.1095487332907243E-3</v>
      </c>
      <c r="H6" s="138">
        <f t="shared" si="2"/>
        <v>-9.7359752673376043E-3</v>
      </c>
      <c r="I6" s="138">
        <f t="shared" si="2"/>
        <v>-1.4349176207771652E-2</v>
      </c>
      <c r="J6" s="139">
        <f t="shared" si="2"/>
        <v>0.29899855056883284</v>
      </c>
    </row>
    <row r="7" spans="1:18" ht="15" thickBot="1" x14ac:dyDescent="0.4"/>
    <row r="8" spans="1:18" ht="16.5" x14ac:dyDescent="0.45">
      <c r="A8" s="132" t="s">
        <v>65</v>
      </c>
      <c r="B8" s="130">
        <v>0.5</v>
      </c>
      <c r="C8" s="32">
        <v>0.625</v>
      </c>
      <c r="D8" s="126">
        <v>0.75</v>
      </c>
      <c r="E8" s="32">
        <v>0.875</v>
      </c>
      <c r="F8" s="126">
        <v>1</v>
      </c>
      <c r="G8" s="32">
        <v>1.125</v>
      </c>
      <c r="H8" s="126">
        <v>1.25</v>
      </c>
      <c r="I8" s="32">
        <v>1.375</v>
      </c>
      <c r="J8" s="126">
        <v>1.5</v>
      </c>
      <c r="K8" s="32">
        <v>1.625</v>
      </c>
      <c r="L8" s="126">
        <v>1.75</v>
      </c>
      <c r="M8" s="32">
        <v>1.875</v>
      </c>
      <c r="N8" s="126">
        <v>2</v>
      </c>
      <c r="O8" s="32">
        <v>2.125</v>
      </c>
      <c r="P8" s="126">
        <v>2.25</v>
      </c>
      <c r="Q8" s="32">
        <v>2.375</v>
      </c>
      <c r="R8" s="127">
        <v>2.5</v>
      </c>
    </row>
    <row r="9" spans="1:18" ht="17" thickBot="1" x14ac:dyDescent="0.5">
      <c r="A9" s="134" t="s">
        <v>66</v>
      </c>
      <c r="B9" s="136">
        <f>+(EXP(B8))/B8</f>
        <v>3.2974425414002564</v>
      </c>
      <c r="C9" s="137">
        <f t="shared" ref="C9:R9" si="3">+(EXP(C8))/C8</f>
        <v>2.9891935318915559</v>
      </c>
      <c r="D9" s="138">
        <f t="shared" si="3"/>
        <v>2.8226666888168999</v>
      </c>
      <c r="E9" s="137">
        <f t="shared" si="3"/>
        <v>2.7415717645338264</v>
      </c>
      <c r="F9" s="138">
        <f t="shared" si="3"/>
        <v>2.7182818284590451</v>
      </c>
      <c r="G9" s="137">
        <f t="shared" si="3"/>
        <v>2.7379705323715831</v>
      </c>
      <c r="H9" s="138">
        <f t="shared" si="3"/>
        <v>2.7922743659694733</v>
      </c>
      <c r="I9" s="137">
        <f t="shared" si="3"/>
        <v>2.876419434851329</v>
      </c>
      <c r="J9" s="138">
        <f t="shared" si="3"/>
        <v>2.9877927135587097</v>
      </c>
      <c r="K9" s="137">
        <f t="shared" si="3"/>
        <v>3.125180945956973</v>
      </c>
      <c r="L9" s="138">
        <f t="shared" si="3"/>
        <v>3.2883443862889892</v>
      </c>
      <c r="M9" s="137">
        <f t="shared" si="3"/>
        <v>3.4777701975093933</v>
      </c>
      <c r="N9" s="138">
        <f t="shared" si="3"/>
        <v>3.6945280494653252</v>
      </c>
      <c r="O9" s="137">
        <f t="shared" si="3"/>
        <v>3.9401870532363601</v>
      </c>
      <c r="P9" s="138">
        <f t="shared" si="3"/>
        <v>4.2167714828260117</v>
      </c>
      <c r="Q9" s="137">
        <f t="shared" si="3"/>
        <v>4.5267423941374121</v>
      </c>
      <c r="R9" s="139">
        <f t="shared" si="3"/>
        <v>4.8729975842813893</v>
      </c>
    </row>
    <row r="10" spans="1:18" ht="16.5" x14ac:dyDescent="0.45">
      <c r="A10" s="135" t="s">
        <v>67</v>
      </c>
      <c r="B10" s="140">
        <f>+(C9-B9)/$M$4</f>
        <v>-2.4659920760696039</v>
      </c>
      <c r="C10" s="141">
        <f>+(D9-B9)/(2*$M$4)</f>
        <v>-1.8991034103334261</v>
      </c>
      <c r="D10" s="142">
        <f t="shared" ref="D10:Q10" si="4">+(E9-C9)/(2*$M$4)</f>
        <v>-0.9904870694309178</v>
      </c>
      <c r="E10" s="141">
        <f t="shared" si="4"/>
        <v>-0.41753944143141908</v>
      </c>
      <c r="F10" s="142">
        <f t="shared" si="4"/>
        <v>-1.4404928648973581E-2</v>
      </c>
      <c r="G10" s="141">
        <f t="shared" si="4"/>
        <v>0.2959701500417129</v>
      </c>
      <c r="H10" s="142">
        <f t="shared" si="4"/>
        <v>0.5537956099189838</v>
      </c>
      <c r="I10" s="141">
        <f t="shared" si="4"/>
        <v>0.78207339035694545</v>
      </c>
      <c r="J10" s="142">
        <f t="shared" si="4"/>
        <v>0.99504604442257616</v>
      </c>
      <c r="K10" s="141">
        <f t="shared" si="4"/>
        <v>1.202206690921118</v>
      </c>
      <c r="L10" s="142">
        <f t="shared" si="4"/>
        <v>1.4103570062096811</v>
      </c>
      <c r="M10" s="141">
        <f t="shared" si="4"/>
        <v>1.6247346527053441</v>
      </c>
      <c r="N10" s="142">
        <f t="shared" si="4"/>
        <v>1.8496674229078671</v>
      </c>
      <c r="O10" s="141">
        <f t="shared" si="4"/>
        <v>2.0889737334427458</v>
      </c>
      <c r="P10" s="142">
        <f t="shared" si="4"/>
        <v>2.346221363604208</v>
      </c>
      <c r="Q10" s="141">
        <f t="shared" si="4"/>
        <v>2.6249044058215105</v>
      </c>
      <c r="R10" s="143">
        <f>+(R9-Q9)/$M$4</f>
        <v>2.7700415211518177</v>
      </c>
    </row>
    <row r="11" spans="1:18" ht="16.5" x14ac:dyDescent="0.45">
      <c r="A11" s="133" t="s">
        <v>68</v>
      </c>
      <c r="B11" s="131">
        <f>+((EXP(B8))*(B8-1))/(B8^2)</f>
        <v>-3.2974425414002564</v>
      </c>
      <c r="C11" s="125">
        <f>+((EXP(C8))*(C8-1))/(C8^2)</f>
        <v>-1.7935161191349334</v>
      </c>
      <c r="D11" s="124">
        <f t="shared" ref="D11:R11" si="5">+((EXP(D8))*(D8-1))/(D8^2)</f>
        <v>-0.94088889627229988</v>
      </c>
      <c r="E11" s="125">
        <f t="shared" si="5"/>
        <v>-0.39165310921911806</v>
      </c>
      <c r="F11" s="124">
        <f t="shared" si="5"/>
        <v>0</v>
      </c>
      <c r="G11" s="125">
        <f t="shared" si="5"/>
        <v>0.30421894804128702</v>
      </c>
      <c r="H11" s="124">
        <f t="shared" si="5"/>
        <v>0.55845487319389464</v>
      </c>
      <c r="I11" s="125">
        <f t="shared" si="5"/>
        <v>0.78447802768672614</v>
      </c>
      <c r="J11" s="124">
        <f t="shared" si="5"/>
        <v>0.99593090451956989</v>
      </c>
      <c r="K11" s="125">
        <f t="shared" si="5"/>
        <v>1.2019926715219129</v>
      </c>
      <c r="L11" s="124">
        <f t="shared" si="5"/>
        <v>1.4092904512667095</v>
      </c>
      <c r="M11" s="125">
        <f t="shared" si="5"/>
        <v>1.6229594255043835</v>
      </c>
      <c r="N11" s="124">
        <f t="shared" si="5"/>
        <v>1.8472640247326626</v>
      </c>
      <c r="O11" s="125">
        <f t="shared" si="5"/>
        <v>2.0859813811251318</v>
      </c>
      <c r="P11" s="124">
        <f t="shared" si="5"/>
        <v>2.3426508237922286</v>
      </c>
      <c r="Q11" s="125">
        <f t="shared" si="5"/>
        <v>2.6207455966058704</v>
      </c>
      <c r="R11" s="129">
        <f t="shared" si="5"/>
        <v>2.9237985505688333</v>
      </c>
    </row>
    <row r="12" spans="1:18" ht="15" thickBot="1" x14ac:dyDescent="0.4">
      <c r="A12" s="134" t="s">
        <v>63</v>
      </c>
      <c r="B12" s="136">
        <f>+B11-B10</f>
        <v>-0.83145046533065248</v>
      </c>
      <c r="C12" s="137">
        <f>+C11-C10</f>
        <v>0.10558729119849275</v>
      </c>
      <c r="D12" s="138">
        <f t="shared" ref="D12:R12" si="6">+D11-D10</f>
        <v>4.959817315861792E-2</v>
      </c>
      <c r="E12" s="137">
        <f t="shared" si="6"/>
        <v>2.5886332212301022E-2</v>
      </c>
      <c r="F12" s="138">
        <f t="shared" si="6"/>
        <v>1.4404928648973581E-2</v>
      </c>
      <c r="G12" s="137">
        <f t="shared" si="6"/>
        <v>8.2487979995741201E-3</v>
      </c>
      <c r="H12" s="138">
        <f t="shared" si="6"/>
        <v>4.6592632749108409E-3</v>
      </c>
      <c r="I12" s="137">
        <f t="shared" si="6"/>
        <v>2.40463732978069E-3</v>
      </c>
      <c r="J12" s="138">
        <f t="shared" si="6"/>
        <v>8.8486009699373369E-4</v>
      </c>
      <c r="K12" s="137">
        <f t="shared" si="6"/>
        <v>-2.1401939920506763E-4</v>
      </c>
      <c r="L12" s="138">
        <f t="shared" si="6"/>
        <v>-1.066554942971587E-3</v>
      </c>
      <c r="M12" s="137">
        <f t="shared" si="6"/>
        <v>-1.7752272009605718E-3</v>
      </c>
      <c r="N12" s="138">
        <f t="shared" si="6"/>
        <v>-2.4033981752045186E-3</v>
      </c>
      <c r="O12" s="137">
        <f t="shared" si="6"/>
        <v>-2.9923523176140776E-3</v>
      </c>
      <c r="P12" s="138">
        <f t="shared" si="6"/>
        <v>-3.5705398119794118E-3</v>
      </c>
      <c r="Q12" s="137">
        <f t="shared" si="6"/>
        <v>-4.1588092156401579E-3</v>
      </c>
      <c r="R12" s="139">
        <f t="shared" si="6"/>
        <v>0.15375702941701563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F15CD-8A52-4865-ABA1-CC0675B6AB47}">
  <dimension ref="A1:J49"/>
  <sheetViews>
    <sheetView topLeftCell="A25" workbookViewId="0">
      <selection activeCell="I49" sqref="I49"/>
    </sheetView>
  </sheetViews>
  <sheetFormatPr baseColWidth="10" defaultRowHeight="14.5" x14ac:dyDescent="0.35"/>
  <cols>
    <col min="4" max="4" width="24.6328125" customWidth="1"/>
    <col min="5" max="5" width="3.1796875" customWidth="1"/>
    <col min="6" max="6" width="70.1796875" customWidth="1"/>
    <col min="8" max="8" width="13.36328125" customWidth="1"/>
    <col min="10" max="10" width="17.08984375" customWidth="1"/>
  </cols>
  <sheetData>
    <row r="1" spans="1:10" x14ac:dyDescent="0.35">
      <c r="A1" s="148" t="s">
        <v>69</v>
      </c>
      <c r="B1" s="148"/>
      <c r="C1" s="148"/>
    </row>
    <row r="7" spans="1:10" ht="20" x14ac:dyDescent="0.45">
      <c r="D7" s="149" t="s">
        <v>70</v>
      </c>
      <c r="F7" s="151" t="s">
        <v>77</v>
      </c>
      <c r="G7" s="178" t="s">
        <v>81</v>
      </c>
      <c r="H7" s="178"/>
      <c r="I7" s="178"/>
    </row>
    <row r="8" spans="1:10" ht="15" thickBot="1" x14ac:dyDescent="0.4">
      <c r="F8" s="158"/>
      <c r="G8" s="123" t="s">
        <v>82</v>
      </c>
      <c r="H8" s="123" t="s">
        <v>46</v>
      </c>
      <c r="I8" s="123" t="s">
        <v>47</v>
      </c>
    </row>
    <row r="9" spans="1:10" ht="15" thickBot="1" x14ac:dyDescent="0.4">
      <c r="F9" s="158"/>
      <c r="G9" s="123">
        <v>0</v>
      </c>
      <c r="H9" s="155">
        <v>0</v>
      </c>
      <c r="I9" s="124">
        <v>1</v>
      </c>
      <c r="J9" s="154" t="s">
        <v>79</v>
      </c>
    </row>
    <row r="10" spans="1:10" ht="15.5" x14ac:dyDescent="0.35">
      <c r="D10" s="149" t="s">
        <v>71</v>
      </c>
      <c r="F10" s="151" t="s">
        <v>76</v>
      </c>
      <c r="G10" s="123">
        <v>1</v>
      </c>
      <c r="H10" s="28">
        <v>0.1</v>
      </c>
      <c r="I10" s="125">
        <f>+I9+0.1*(-I9+H9+1)</f>
        <v>1</v>
      </c>
    </row>
    <row r="11" spans="1:10" x14ac:dyDescent="0.35">
      <c r="F11" s="158"/>
      <c r="G11" s="123">
        <v>2</v>
      </c>
      <c r="H11" s="28">
        <v>0.2</v>
      </c>
      <c r="I11" s="125">
        <f t="shared" ref="I11:I19" si="0">+I10+0.1*(-I10+H10+1)</f>
        <v>1.01</v>
      </c>
    </row>
    <row r="12" spans="1:10" ht="18" x14ac:dyDescent="0.35">
      <c r="D12" s="149" t="s">
        <v>72</v>
      </c>
      <c r="F12" s="152" t="s">
        <v>78</v>
      </c>
      <c r="G12" s="123">
        <v>3</v>
      </c>
      <c r="H12" s="28">
        <v>0.3</v>
      </c>
      <c r="I12" s="125">
        <f t="shared" si="0"/>
        <v>1.0289999999999999</v>
      </c>
    </row>
    <row r="13" spans="1:10" x14ac:dyDescent="0.35">
      <c r="G13" s="123">
        <v>4</v>
      </c>
      <c r="H13" s="28">
        <v>0.4</v>
      </c>
      <c r="I13" s="125">
        <f t="shared" si="0"/>
        <v>1.0560999999999998</v>
      </c>
    </row>
    <row r="14" spans="1:10" ht="15" thickBot="1" x14ac:dyDescent="0.4">
      <c r="G14" s="123">
        <v>5</v>
      </c>
      <c r="H14" s="28">
        <v>0.5</v>
      </c>
      <c r="I14" s="125">
        <f t="shared" si="0"/>
        <v>1.0904899999999997</v>
      </c>
    </row>
    <row r="15" spans="1:10" ht="17" thickBot="1" x14ac:dyDescent="0.5">
      <c r="A15" s="153" t="s">
        <v>73</v>
      </c>
      <c r="B15" s="55" t="s">
        <v>74</v>
      </c>
      <c r="C15" s="56" t="s">
        <v>75</v>
      </c>
      <c r="D15" s="18" t="s">
        <v>79</v>
      </c>
      <c r="G15" s="123">
        <v>6</v>
      </c>
      <c r="H15" s="28">
        <v>0.6</v>
      </c>
      <c r="I15" s="125">
        <f t="shared" si="0"/>
        <v>1.1314409999999997</v>
      </c>
    </row>
    <row r="16" spans="1:10" x14ac:dyDescent="0.35">
      <c r="G16" s="123">
        <v>7</v>
      </c>
      <c r="H16" s="28">
        <v>0.7</v>
      </c>
      <c r="I16" s="125">
        <f t="shared" si="0"/>
        <v>1.1782968999999996</v>
      </c>
    </row>
    <row r="17" spans="1:9" ht="15" thickBot="1" x14ac:dyDescent="0.4">
      <c r="G17" s="123">
        <v>8</v>
      </c>
      <c r="H17" s="28">
        <v>0.8</v>
      </c>
      <c r="I17" s="125">
        <f t="shared" si="0"/>
        <v>1.2304672099999996</v>
      </c>
    </row>
    <row r="18" spans="1:9" ht="18" thickBot="1" x14ac:dyDescent="0.5">
      <c r="A18" s="153" t="s">
        <v>80</v>
      </c>
      <c r="B18" s="55" t="s">
        <v>84</v>
      </c>
      <c r="C18" s="56" t="s">
        <v>83</v>
      </c>
      <c r="F18" s="150" t="s">
        <v>85</v>
      </c>
      <c r="G18" s="123">
        <v>9</v>
      </c>
      <c r="H18" s="28">
        <v>0.9</v>
      </c>
      <c r="I18" s="125">
        <f t="shared" si="0"/>
        <v>1.2874204889999996</v>
      </c>
    </row>
    <row r="19" spans="1:9" ht="17.5" x14ac:dyDescent="0.35">
      <c r="F19" s="150" t="s">
        <v>86</v>
      </c>
      <c r="G19" s="123">
        <v>10</v>
      </c>
      <c r="H19" s="28">
        <v>1</v>
      </c>
      <c r="I19" s="125">
        <f t="shared" si="0"/>
        <v>1.3486784400999996</v>
      </c>
    </row>
    <row r="20" spans="1:9" ht="15" thickBot="1" x14ac:dyDescent="0.4"/>
    <row r="21" spans="1:9" ht="18" thickBot="1" x14ac:dyDescent="0.5">
      <c r="A21" s="153" t="s">
        <v>89</v>
      </c>
      <c r="B21" s="55" t="s">
        <v>90</v>
      </c>
      <c r="C21" s="56" t="s">
        <v>91</v>
      </c>
      <c r="F21" s="150" t="s">
        <v>87</v>
      </c>
    </row>
    <row r="22" spans="1:9" ht="17.5" x14ac:dyDescent="0.35">
      <c r="F22" s="150" t="s">
        <v>88</v>
      </c>
    </row>
    <row r="23" spans="1:9" ht="15" thickBot="1" x14ac:dyDescent="0.4"/>
    <row r="24" spans="1:9" ht="18" thickBot="1" x14ac:dyDescent="0.5">
      <c r="A24" s="153" t="s">
        <v>94</v>
      </c>
      <c r="B24" s="55" t="s">
        <v>95</v>
      </c>
      <c r="C24" s="56" t="s">
        <v>96</v>
      </c>
      <c r="F24" s="150" t="s">
        <v>92</v>
      </c>
    </row>
    <row r="25" spans="1:9" ht="17.5" x14ac:dyDescent="0.35">
      <c r="F25" s="150" t="s">
        <v>93</v>
      </c>
    </row>
    <row r="26" spans="1:9" ht="15" thickBot="1" x14ac:dyDescent="0.4"/>
    <row r="27" spans="1:9" ht="18" thickBot="1" x14ac:dyDescent="0.5">
      <c r="A27" s="153" t="s">
        <v>99</v>
      </c>
      <c r="B27" s="55" t="s">
        <v>100</v>
      </c>
      <c r="C27" s="56" t="s">
        <v>101</v>
      </c>
      <c r="F27" s="150" t="s">
        <v>97</v>
      </c>
    </row>
    <row r="28" spans="1:9" ht="17.5" x14ac:dyDescent="0.35">
      <c r="F28" s="150" t="s">
        <v>98</v>
      </c>
    </row>
    <row r="31" spans="1:9" ht="21" x14ac:dyDescent="0.45">
      <c r="D31" s="149" t="s">
        <v>70</v>
      </c>
      <c r="F31" s="151" t="s">
        <v>106</v>
      </c>
      <c r="G31" s="178" t="s">
        <v>81</v>
      </c>
      <c r="H31" s="178"/>
      <c r="I31" s="178"/>
    </row>
    <row r="32" spans="1:9" ht="15" thickBot="1" x14ac:dyDescent="0.4">
      <c r="A32" s="148" t="s">
        <v>102</v>
      </c>
      <c r="G32" s="123" t="s">
        <v>82</v>
      </c>
      <c r="H32" s="123" t="s">
        <v>46</v>
      </c>
      <c r="I32" s="123" t="s">
        <v>47</v>
      </c>
    </row>
    <row r="33" spans="1:10" ht="21.5" thickBot="1" x14ac:dyDescent="0.5">
      <c r="D33" s="149" t="s">
        <v>105</v>
      </c>
      <c r="F33" s="151" t="s">
        <v>104</v>
      </c>
      <c r="G33" s="123">
        <v>0</v>
      </c>
      <c r="H33" s="155">
        <v>0</v>
      </c>
      <c r="I33" s="156">
        <v>1</v>
      </c>
      <c r="J33" s="154" t="s">
        <v>79</v>
      </c>
    </row>
    <row r="34" spans="1:10" x14ac:dyDescent="0.35">
      <c r="G34" s="123">
        <v>1</v>
      </c>
      <c r="H34" s="28">
        <v>0.1</v>
      </c>
      <c r="I34" s="157">
        <f>+I33+(0.1/2)*((-I33+H33+1)+(-I33+0.1*(-I33+H33+1)+H34+1))</f>
        <v>1.0049999999999999</v>
      </c>
    </row>
    <row r="35" spans="1:10" ht="15.5" x14ac:dyDescent="0.35">
      <c r="D35" s="149" t="s">
        <v>71</v>
      </c>
      <c r="F35" s="151" t="s">
        <v>76</v>
      </c>
      <c r="G35" s="123">
        <v>2</v>
      </c>
      <c r="H35" s="28">
        <v>0.2</v>
      </c>
      <c r="I35" s="157">
        <f>+I34+(0.1/2)*((-I34+H34+1)+(-I34+0.1*(-I34+H34+1)+H35+1))</f>
        <v>1.0199749999999999</v>
      </c>
    </row>
    <row r="36" spans="1:10" x14ac:dyDescent="0.35">
      <c r="G36" s="123">
        <v>3</v>
      </c>
      <c r="H36" s="28">
        <v>0.3</v>
      </c>
      <c r="I36" s="157">
        <f t="shared" ref="I36:I43" si="1">+I35+(0.1/2)*((-I35+H35+1)+(-I35+0.1*(-I35+H35+1)+H36+1))</f>
        <v>1.0438776249999999</v>
      </c>
    </row>
    <row r="37" spans="1:10" ht="18" x14ac:dyDescent="0.45">
      <c r="D37" s="149" t="s">
        <v>72</v>
      </c>
      <c r="F37" s="151" t="s">
        <v>103</v>
      </c>
      <c r="G37" s="123">
        <v>4</v>
      </c>
      <c r="H37" s="28">
        <v>0.4</v>
      </c>
      <c r="I37" s="157">
        <f t="shared" si="1"/>
        <v>1.0757704743749998</v>
      </c>
    </row>
    <row r="38" spans="1:10" x14ac:dyDescent="0.35">
      <c r="G38" s="123">
        <v>5</v>
      </c>
      <c r="H38" s="28">
        <v>0.5</v>
      </c>
      <c r="I38" s="157">
        <f t="shared" si="1"/>
        <v>1.1148145745656248</v>
      </c>
    </row>
    <row r="39" spans="1:10" ht="15" thickBot="1" x14ac:dyDescent="0.4">
      <c r="G39" s="123">
        <v>6</v>
      </c>
      <c r="H39" s="28">
        <v>0.6</v>
      </c>
      <c r="I39" s="157">
        <f t="shared" si="1"/>
        <v>1.1602590442362342</v>
      </c>
    </row>
    <row r="40" spans="1:10" ht="17" thickBot="1" x14ac:dyDescent="0.5">
      <c r="A40" s="153" t="s">
        <v>73</v>
      </c>
      <c r="B40" s="55" t="s">
        <v>74</v>
      </c>
      <c r="C40" s="56" t="s">
        <v>75</v>
      </c>
      <c r="D40" s="18" t="s">
        <v>79</v>
      </c>
      <c r="G40" s="123">
        <v>7</v>
      </c>
      <c r="H40" s="28">
        <v>0.7</v>
      </c>
      <c r="I40" s="157">
        <f t="shared" si="1"/>
        <v>1.2114318445914296</v>
      </c>
    </row>
    <row r="41" spans="1:10" ht="15" thickBot="1" x14ac:dyDescent="0.4">
      <c r="G41" s="123">
        <v>8</v>
      </c>
      <c r="H41" s="28">
        <v>0.8</v>
      </c>
      <c r="I41" s="157">
        <f t="shared" si="1"/>
        <v>1.2677315009093295</v>
      </c>
    </row>
    <row r="42" spans="1:10" ht="18.5" thickBot="1" x14ac:dyDescent="0.5">
      <c r="A42" s="153" t="s">
        <v>80</v>
      </c>
      <c r="B42" s="55" t="s">
        <v>84</v>
      </c>
      <c r="C42" s="56" t="s">
        <v>83</v>
      </c>
      <c r="F42" s="151" t="s">
        <v>107</v>
      </c>
      <c r="G42" s="123">
        <v>9</v>
      </c>
      <c r="H42" s="28">
        <v>0.9</v>
      </c>
      <c r="I42" s="157">
        <f t="shared" si="1"/>
        <v>1.3286196933138499</v>
      </c>
    </row>
    <row r="43" spans="1:10" ht="18" x14ac:dyDescent="0.45">
      <c r="F43" s="151" t="s">
        <v>110</v>
      </c>
      <c r="G43" s="123">
        <v>10</v>
      </c>
      <c r="H43" s="28">
        <v>1</v>
      </c>
      <c r="I43" s="157">
        <f t="shared" si="1"/>
        <v>1.3936146255158957</v>
      </c>
    </row>
    <row r="44" spans="1:10" ht="15" thickBot="1" x14ac:dyDescent="0.4"/>
    <row r="45" spans="1:10" ht="18.5" thickBot="1" x14ac:dyDescent="0.5">
      <c r="A45" s="153" t="s">
        <v>89</v>
      </c>
      <c r="B45" s="55" t="s">
        <v>90</v>
      </c>
      <c r="C45" s="56" t="s">
        <v>91</v>
      </c>
      <c r="F45" s="151" t="s">
        <v>108</v>
      </c>
    </row>
    <row r="46" spans="1:10" ht="18" x14ac:dyDescent="0.45">
      <c r="F46" s="151" t="s">
        <v>109</v>
      </c>
    </row>
    <row r="47" spans="1:10" ht="15" thickBot="1" x14ac:dyDescent="0.4"/>
    <row r="48" spans="1:10" ht="18.5" thickBot="1" x14ac:dyDescent="0.5">
      <c r="A48" s="153" t="s">
        <v>94</v>
      </c>
      <c r="B48" s="55" t="s">
        <v>95</v>
      </c>
      <c r="C48" s="56" t="s">
        <v>96</v>
      </c>
      <c r="F48" s="151" t="s">
        <v>111</v>
      </c>
    </row>
    <row r="49" spans="6:6" ht="18" x14ac:dyDescent="0.45">
      <c r="F49" s="151" t="s">
        <v>112</v>
      </c>
    </row>
  </sheetData>
  <mergeCells count="2">
    <mergeCell ref="G7:I7"/>
    <mergeCell ref="G31:I3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131E-74A3-47E7-9557-9F6D97CE40C6}">
  <dimension ref="A2:K38"/>
  <sheetViews>
    <sheetView tabSelected="1" topLeftCell="A19" zoomScale="110" zoomScaleNormal="110" workbookViewId="0">
      <selection activeCell="A37" sqref="A37:H38"/>
    </sheetView>
  </sheetViews>
  <sheetFormatPr baseColWidth="10" defaultRowHeight="14.5" x14ac:dyDescent="0.35"/>
  <cols>
    <col min="2" max="2" width="11.1796875" bestFit="1" customWidth="1"/>
  </cols>
  <sheetData>
    <row r="2" spans="1:11" x14ac:dyDescent="0.35">
      <c r="A2" s="179" t="s">
        <v>117</v>
      </c>
      <c r="B2" s="179"/>
      <c r="C2" s="179"/>
    </row>
    <row r="3" spans="1:11" x14ac:dyDescent="0.35">
      <c r="A3" s="160" t="s">
        <v>128</v>
      </c>
      <c r="B3" s="160">
        <v>2</v>
      </c>
      <c r="C3" s="160" t="s">
        <v>115</v>
      </c>
    </row>
    <row r="4" spans="1:11" x14ac:dyDescent="0.35">
      <c r="A4" t="s">
        <v>129</v>
      </c>
      <c r="B4">
        <v>0.1</v>
      </c>
      <c r="C4" t="s">
        <v>115</v>
      </c>
    </row>
    <row r="5" spans="1:11" x14ac:dyDescent="0.35">
      <c r="A5" s="160" t="s">
        <v>29</v>
      </c>
      <c r="B5" s="161">
        <f>+PI()*B3^2</f>
        <v>12.566370614359172</v>
      </c>
      <c r="C5" s="160" t="s">
        <v>116</v>
      </c>
    </row>
    <row r="6" spans="1:11" x14ac:dyDescent="0.35">
      <c r="A6" s="160" t="s">
        <v>113</v>
      </c>
      <c r="B6" s="160">
        <v>2</v>
      </c>
      <c r="C6" s="160" t="s">
        <v>115</v>
      </c>
    </row>
    <row r="7" spans="1:11" x14ac:dyDescent="0.35">
      <c r="A7" s="160" t="s">
        <v>114</v>
      </c>
      <c r="B7" s="161">
        <f>+PI()*0.1^2</f>
        <v>3.1415926535897934E-2</v>
      </c>
      <c r="C7" s="160" t="s">
        <v>116</v>
      </c>
    </row>
    <row r="8" spans="1:11" x14ac:dyDescent="0.35">
      <c r="A8" s="160" t="s">
        <v>126</v>
      </c>
      <c r="B8">
        <v>9.8000000000000007</v>
      </c>
    </row>
    <row r="9" spans="1:11" x14ac:dyDescent="0.35">
      <c r="A9" s="160" t="s">
        <v>118</v>
      </c>
      <c r="B9" s="160">
        <v>10</v>
      </c>
      <c r="C9" s="160" t="s">
        <v>119</v>
      </c>
    </row>
    <row r="11" spans="1:11" x14ac:dyDescent="0.35">
      <c r="A11" s="160" t="s">
        <v>127</v>
      </c>
      <c r="B11" s="159" t="s">
        <v>120</v>
      </c>
      <c r="C11" s="159" t="s">
        <v>121</v>
      </c>
      <c r="D11" s="159" t="s">
        <v>122</v>
      </c>
      <c r="E11" s="159" t="s">
        <v>123</v>
      </c>
      <c r="F11" s="159" t="s">
        <v>124</v>
      </c>
      <c r="G11" s="159" t="s">
        <v>37</v>
      </c>
      <c r="H11" s="159" t="s">
        <v>125</v>
      </c>
    </row>
    <row r="12" spans="1:11" x14ac:dyDescent="0.35">
      <c r="A12">
        <v>1</v>
      </c>
      <c r="B12" s="159">
        <v>0</v>
      </c>
      <c r="C12" s="159"/>
      <c r="D12" s="159"/>
      <c r="E12" s="159"/>
      <c r="F12" s="159"/>
      <c r="G12" s="159">
        <v>2</v>
      </c>
      <c r="H12">
        <f t="shared" ref="H12:H20" si="0">(SQRT($B$6)-($B$7/$B$5)*SQRT($B$8/2)*B12)^2</f>
        <v>2.0000000000000004</v>
      </c>
    </row>
    <row r="13" spans="1:11" x14ac:dyDescent="0.35">
      <c r="A13">
        <v>2</v>
      </c>
      <c r="B13">
        <f t="shared" ref="B13:B20" si="1">+B12+$B$9</f>
        <v>10</v>
      </c>
      <c r="C13" s="162">
        <f t="shared" ref="C13:C20" si="2">-(($B$7/$B$5)*SQRT(2*$B$8*H12))</f>
        <v>-1.5652475842498532E-2</v>
      </c>
      <c r="D13" s="162">
        <f t="shared" ref="D13:D20" si="3">-(($B$7/$B$5)*SQRT(2*$B$8*(H12+($B$9/2)*C13)))</f>
        <v>-1.5343169768547493E-2</v>
      </c>
      <c r="E13" s="162">
        <f t="shared" ref="E13:E20" si="4">-(($B$7/$B$5)*SQRT(2*$B$8*(H12+($B$9/2)*D13)))</f>
        <v>-1.534934228287208E-2</v>
      </c>
      <c r="F13" s="162">
        <f t="shared" ref="F13:F20" si="5">-(($B$7/$B$5)*SQRT(2*$B$8*(H12+($B$9)*E13)))</f>
        <v>-1.5039848925553798E-2</v>
      </c>
      <c r="G13" s="163">
        <f t="shared" ref="G13:G20" si="6">+G12+($B$9/6)*(C13+2*D13+2*E13+F13)</f>
        <v>1.8465377518818475</v>
      </c>
      <c r="H13" s="163">
        <f t="shared" si="0"/>
        <v>1.846537741575015</v>
      </c>
      <c r="I13">
        <f>-(B7/B5)*SQRT(2*9.8)</f>
        <v>-1.1067971810589328E-2</v>
      </c>
    </row>
    <row r="14" spans="1:11" x14ac:dyDescent="0.35">
      <c r="A14">
        <v>3</v>
      </c>
      <c r="B14">
        <f t="shared" si="1"/>
        <v>20</v>
      </c>
      <c r="C14" s="162">
        <f t="shared" si="2"/>
        <v>-1.503997584249853E-2</v>
      </c>
      <c r="D14" s="162">
        <f t="shared" si="3"/>
        <v>-1.4730542696703642E-2</v>
      </c>
      <c r="E14" s="162">
        <f t="shared" si="4"/>
        <v>-1.47369744500426E-2</v>
      </c>
      <c r="F14" s="162">
        <f t="shared" si="5"/>
        <v>-1.4427337926368716E-2</v>
      </c>
      <c r="G14" s="162">
        <f t="shared" si="6"/>
        <v>1.699200505111248</v>
      </c>
      <c r="H14" s="162">
        <f t="shared" si="0"/>
        <v>1.6992004831500294</v>
      </c>
    </row>
    <row r="15" spans="1:11" x14ac:dyDescent="0.35">
      <c r="A15">
        <v>4</v>
      </c>
      <c r="B15">
        <f t="shared" si="1"/>
        <v>30</v>
      </c>
      <c r="C15" s="162">
        <f t="shared" si="2"/>
        <v>-1.442747584249853E-2</v>
      </c>
      <c r="D15" s="162">
        <f t="shared" si="3"/>
        <v>-1.4117904597791709E-2</v>
      </c>
      <c r="E15" s="162">
        <f t="shared" si="4"/>
        <v>-1.4124618317665479E-2</v>
      </c>
      <c r="F15" s="162">
        <f t="shared" si="5"/>
        <v>-1.381482543308957E-2</v>
      </c>
      <c r="G15" s="162">
        <f t="shared" si="6"/>
        <v>1.5579882599337438</v>
      </c>
      <c r="H15" s="162">
        <f t="shared" si="0"/>
        <v>1.5579882247250443</v>
      </c>
      <c r="J15">
        <f>-(B7/B5)</f>
        <v>-2.5000000000000001E-3</v>
      </c>
      <c r="K15">
        <f>2*9.8</f>
        <v>19.600000000000001</v>
      </c>
    </row>
    <row r="16" spans="1:11" x14ac:dyDescent="0.35">
      <c r="A16">
        <v>5</v>
      </c>
      <c r="B16">
        <f t="shared" si="1"/>
        <v>40</v>
      </c>
      <c r="C16" s="162">
        <f t="shared" si="2"/>
        <v>-1.3814975842498529E-2</v>
      </c>
      <c r="D16" s="162">
        <f t="shared" si="3"/>
        <v>-1.3505253971150917E-2</v>
      </c>
      <c r="E16" s="162">
        <f t="shared" si="4"/>
        <v>-1.3512275510493707E-2</v>
      </c>
      <c r="F16" s="162">
        <f t="shared" si="5"/>
        <v>-1.3202311162386045E-2</v>
      </c>
      <c r="G16" s="162">
        <f t="shared" si="6"/>
        <v>1.4229010166534541</v>
      </c>
      <c r="H16" s="162">
        <f t="shared" si="0"/>
        <v>1.4229009663000591</v>
      </c>
    </row>
    <row r="17" spans="1:8" x14ac:dyDescent="0.35">
      <c r="A17">
        <v>6</v>
      </c>
      <c r="B17">
        <f t="shared" si="1"/>
        <v>50</v>
      </c>
      <c r="C17" s="162">
        <f t="shared" si="2"/>
        <v>-1.3202475842498529E-2</v>
      </c>
      <c r="D17" s="162">
        <f t="shared" si="3"/>
        <v>-1.2892589030843529E-2</v>
      </c>
      <c r="E17" s="162">
        <f t="shared" si="4"/>
        <v>-1.2899947968513889E-2</v>
      </c>
      <c r="F17" s="162">
        <f t="shared" si="5"/>
        <v>-1.2589794760452919E-2</v>
      </c>
      <c r="G17" s="162">
        <f t="shared" si="6"/>
        <v>1.2939387756506771</v>
      </c>
      <c r="H17" s="162">
        <f t="shared" si="0"/>
        <v>1.2939387078750739</v>
      </c>
    </row>
    <row r="18" spans="1:8" x14ac:dyDescent="0.35">
      <c r="A18">
        <v>7</v>
      </c>
      <c r="B18">
        <f t="shared" si="1"/>
        <v>60</v>
      </c>
      <c r="C18" s="162">
        <f t="shared" si="2"/>
        <v>-1.2589975842498529E-2</v>
      </c>
      <c r="D18" s="162">
        <f t="shared" si="3"/>
        <v>-1.2279907634472101E-2</v>
      </c>
      <c r="E18" s="162">
        <f t="shared" si="4"/>
        <v>-1.2287638027244391E-2</v>
      </c>
      <c r="F18" s="162">
        <f t="shared" si="5"/>
        <v>-1.1977275780882821E-2</v>
      </c>
      <c r="G18" s="162">
        <f t="shared" si="6"/>
        <v>1.1711015374059865</v>
      </c>
      <c r="H18" s="162">
        <f t="shared" si="0"/>
        <v>1.1711014494500889</v>
      </c>
    </row>
    <row r="19" spans="1:8" x14ac:dyDescent="0.35">
      <c r="A19">
        <v>8</v>
      </c>
      <c r="B19">
        <f t="shared" si="1"/>
        <v>70</v>
      </c>
      <c r="C19" s="162">
        <f t="shared" si="2"/>
        <v>-1.1977475842498531E-2</v>
      </c>
      <c r="D19" s="162">
        <f t="shared" si="3"/>
        <v>-1.1667207189559357E-2</v>
      </c>
      <c r="E19" s="162">
        <f t="shared" si="4"/>
        <v>-1.1675348523878455E-2</v>
      </c>
      <c r="F19" s="162">
        <f t="shared" si="5"/>
        <v>-1.1364753653990253E-2</v>
      </c>
      <c r="G19" s="162">
        <f t="shared" si="6"/>
        <v>1.0543893025337125</v>
      </c>
      <c r="H19" s="162">
        <f t="shared" si="0"/>
        <v>1.0543891910251031</v>
      </c>
    </row>
    <row r="20" spans="1:8" x14ac:dyDescent="0.35">
      <c r="A20">
        <v>9</v>
      </c>
      <c r="B20">
        <f t="shared" si="1"/>
        <v>80</v>
      </c>
      <c r="C20" s="162">
        <f t="shared" si="2"/>
        <v>-1.1364975842498529E-2</v>
      </c>
      <c r="D20" s="162">
        <f t="shared" si="3"/>
        <v>-1.105448452878038E-2</v>
      </c>
      <c r="E20" s="162">
        <f t="shared" si="4"/>
        <v>-1.1063082939519941E-2</v>
      </c>
      <c r="F20" s="162">
        <f>-(($B$7/$B$5)*SQRT(2*$B$8*(H19+($B$9)*E20)))</f>
        <v>-1.0752227643593825E-2</v>
      </c>
      <c r="G20" s="162">
        <f t="shared" si="6"/>
        <v>0.94380207182922427</v>
      </c>
      <c r="H20" s="162">
        <f t="shared" si="0"/>
        <v>0.94380193260011791</v>
      </c>
    </row>
    <row r="21" spans="1:8" x14ac:dyDescent="0.35">
      <c r="A21">
        <v>10</v>
      </c>
      <c r="B21">
        <f t="shared" ref="B21:B28" si="7">+B20+$B$9</f>
        <v>90</v>
      </c>
      <c r="C21" s="162">
        <f t="shared" ref="C21:C28" si="8">-(($B$7/$B$5)*SQRT(2*$B$8*H20))</f>
        <v>-1.075247584249853E-2</v>
      </c>
      <c r="D21" s="162">
        <f t="shared" ref="D21:D28" si="9">-(($B$7/$B$5)*SQRT(2*$B$8*(H20+($B$9/2)*C21)))</f>
        <v>-1.0441735741244563E-2</v>
      </c>
      <c r="E21" s="162">
        <f t="shared" ref="E21:E28" si="10">-(($B$7/$B$5)*SQRT(2*$B$8*(H20+($B$9/2)*D21)))</f>
        <v>-1.0450845592678238E-2</v>
      </c>
      <c r="F21" s="162">
        <f t="shared" ref="F21:F27" si="11">-(($B$7/$B$5)*SQRT(2*$B$8*(H20+($B$9)*E21)))</f>
        <v>-1.0139696785036701E-2</v>
      </c>
      <c r="G21" s="162">
        <f t="shared" ref="G21:G28" si="12">+G20+($B$9/6)*(C21+2*D21+2*E21+F21)</f>
        <v>0.83933984633692282</v>
      </c>
      <c r="H21" s="162">
        <f t="shared" ref="H21:H28" si="13">(SQRT($B$6)-($B$7/$B$5)*SQRT($B$8/2)*B21)^2</f>
        <v>0.83933967417513278</v>
      </c>
    </row>
    <row r="22" spans="1:8" x14ac:dyDescent="0.35">
      <c r="A22">
        <v>11</v>
      </c>
      <c r="B22">
        <f t="shared" si="7"/>
        <v>100</v>
      </c>
      <c r="C22" s="162">
        <f t="shared" si="8"/>
        <v>-1.013997584249853E-2</v>
      </c>
      <c r="D22" s="162">
        <f t="shared" si="9"/>
        <v>-9.8289559406339495E-3</v>
      </c>
      <c r="E22" s="162">
        <f t="shared" si="10"/>
        <v>-9.8386419069308277E-3</v>
      </c>
      <c r="F22" s="162">
        <f t="shared" si="11"/>
        <v>-9.5271597945276159E-3</v>
      </c>
      <c r="G22" s="162">
        <f t="shared" si="12"/>
        <v>0.74100262744999668</v>
      </c>
      <c r="H22" s="162">
        <f t="shared" si="13"/>
        <v>0.74100241575014736</v>
      </c>
    </row>
    <row r="23" spans="1:8" x14ac:dyDescent="0.35">
      <c r="A23">
        <v>12</v>
      </c>
      <c r="B23">
        <f t="shared" si="7"/>
        <v>110</v>
      </c>
      <c r="C23" s="162">
        <f t="shared" si="8"/>
        <v>-9.5274758424985298E-3</v>
      </c>
      <c r="D23" s="162">
        <f t="shared" si="9"/>
        <v>-9.2161389407854916E-3</v>
      </c>
      <c r="E23" s="162">
        <f t="shared" si="10"/>
        <v>-9.2264787881489192E-3</v>
      </c>
      <c r="F23" s="162">
        <f t="shared" si="11"/>
        <v>-8.9146149335745644E-3</v>
      </c>
      <c r="G23" s="162">
        <f t="shared" si="12"/>
        <v>0.64879041706009344</v>
      </c>
      <c r="H23" s="162">
        <f t="shared" si="13"/>
        <v>0.64879015732516199</v>
      </c>
    </row>
    <row r="24" spans="1:8" x14ac:dyDescent="0.35">
      <c r="A24">
        <v>13</v>
      </c>
      <c r="B24">
        <f t="shared" si="7"/>
        <v>120</v>
      </c>
      <c r="C24" s="162">
        <f t="shared" si="8"/>
        <v>-8.9149758424985296E-3</v>
      </c>
      <c r="D24" s="162">
        <f t="shared" si="9"/>
        <v>-8.6032767925251601E-3</v>
      </c>
      <c r="E24" s="162">
        <f t="shared" si="10"/>
        <v>-8.6143651673765663E-3</v>
      </c>
      <c r="F24" s="162">
        <f t="shared" si="11"/>
        <v>-8.3020598011756125E-3</v>
      </c>
      <c r="G24" s="162">
        <f t="shared" si="12"/>
        <v>0.56270321778763077</v>
      </c>
      <c r="H24" s="162">
        <f t="shared" si="13"/>
        <v>0.56270289890017677</v>
      </c>
    </row>
    <row r="25" spans="1:8" x14ac:dyDescent="0.35">
      <c r="A25">
        <v>14</v>
      </c>
      <c r="B25">
        <f t="shared" si="7"/>
        <v>130</v>
      </c>
      <c r="C25" s="162">
        <f t="shared" si="8"/>
        <v>-8.3024758424985294E-3</v>
      </c>
      <c r="D25" s="162">
        <f t="shared" si="9"/>
        <v>-7.9903591071829386E-3</v>
      </c>
      <c r="E25" s="162">
        <f t="shared" si="10"/>
        <v>-8.0023128008171549E-3</v>
      </c>
      <c r="F25" s="162">
        <f t="shared" si="11"/>
        <v>-7.6894910061895928E-3</v>
      </c>
      <c r="G25" s="162">
        <f t="shared" si="12"/>
        <v>0.48274103334648361</v>
      </c>
      <c r="H25" s="162">
        <f t="shared" si="13"/>
        <v>0.48274064047519161</v>
      </c>
    </row>
    <row r="26" spans="1:8" x14ac:dyDescent="0.35">
      <c r="A26">
        <v>15</v>
      </c>
      <c r="B26">
        <f t="shared" si="7"/>
        <v>140</v>
      </c>
      <c r="C26" s="162">
        <f t="shared" si="8"/>
        <v>-7.6899758424985301E-3</v>
      </c>
      <c r="D26" s="162">
        <f t="shared" si="9"/>
        <v>-7.3773720425826866E-3</v>
      </c>
      <c r="E26" s="162">
        <f t="shared" si="10"/>
        <v>-7.3903374809361098E-3</v>
      </c>
      <c r="F26" s="162">
        <f t="shared" si="11"/>
        <v>-7.0769036339393687E-3</v>
      </c>
      <c r="G26" s="162">
        <f t="shared" si="12"/>
        <v>0.4089038691406911</v>
      </c>
      <c r="H26" s="162">
        <f t="shared" si="13"/>
        <v>0.40890338205020621</v>
      </c>
    </row>
    <row r="27" spans="1:8" x14ac:dyDescent="0.35">
      <c r="A27">
        <v>16</v>
      </c>
      <c r="B27">
        <f t="shared" si="7"/>
        <v>150</v>
      </c>
      <c r="C27" s="162">
        <f t="shared" si="8"/>
        <v>-7.0774758424985299E-3</v>
      </c>
      <c r="D27" s="162">
        <f t="shared" si="9"/>
        <v>-6.7642967371057804E-3</v>
      </c>
      <c r="E27" s="162">
        <f t="shared" si="10"/>
        <v>-6.7784609277971777E-3</v>
      </c>
      <c r="F27" s="162">
        <f t="shared" si="11"/>
        <v>-6.4642903450107137E-3</v>
      </c>
      <c r="G27" s="162">
        <f t="shared" si="12"/>
        <v>0.34119173327849917</v>
      </c>
      <c r="H27" s="162">
        <f t="shared" si="13"/>
        <v>0.34119112362522086</v>
      </c>
    </row>
    <row r="28" spans="1:8" x14ac:dyDescent="0.35">
      <c r="A28">
        <v>17</v>
      </c>
      <c r="B28">
        <f t="shared" si="7"/>
        <v>160</v>
      </c>
      <c r="C28" s="162">
        <f t="shared" si="8"/>
        <v>-6.4649758424985279E-3</v>
      </c>
      <c r="D28" s="162">
        <f t="shared" si="9"/>
        <v>-6.1511068061414122E-3</v>
      </c>
      <c r="E28" s="162">
        <f t="shared" si="10"/>
        <v>-6.1667138514226475E-3</v>
      </c>
      <c r="F28" s="162">
        <f>-(($B$7/$B$5)*SQRT(2*$B$8*(H27+($B$9)*E28)))</f>
        <v>-5.851639785230873E-3</v>
      </c>
      <c r="G28" s="162">
        <f t="shared" si="12"/>
        <v>0.27960463837373661</v>
      </c>
      <c r="H28" s="162">
        <f t="shared" si="13"/>
        <v>0.27960386520023567</v>
      </c>
    </row>
    <row r="29" spans="1:8" x14ac:dyDescent="0.35">
      <c r="A29">
        <v>18</v>
      </c>
      <c r="B29">
        <f t="shared" ref="B29:B38" si="14">+B28+$B$9</f>
        <v>170</v>
      </c>
      <c r="C29" s="162">
        <f t="shared" ref="C29:C38" si="15">-(($B$7/$B$5)*SQRT(2*$B$8*H28))</f>
        <v>-5.8524758424985295E-3</v>
      </c>
      <c r="D29" s="162">
        <f t="shared" ref="D29:D38" si="16">-(($B$7/$B$5)*SQRT(2*$B$8*(H28+($B$9/2)*C29)))</f>
        <v>-5.5377641727955996E-3</v>
      </c>
      <c r="E29" s="162">
        <f t="shared" ref="E29:E38" si="17">-(($B$7/$B$5)*SQRT(2*$B$8*(H28+($B$9/2)*D29)))</f>
        <v>-5.5551411261273607E-3</v>
      </c>
      <c r="F29" s="162">
        <f t="shared" ref="F29:F35" si="18">-(($B$7/$B$5)*SQRT(2*$B$8*(H28+($B$9)*E29)))</f>
        <v>-5.2389336326701882E-3</v>
      </c>
      <c r="G29" s="162">
        <f t="shared" ref="G29:G38" si="19">+G28+($B$9/6)*(C29+2*D29+2*E29+F29)</f>
        <v>0.22414260491871221</v>
      </c>
      <c r="H29" s="162">
        <f t="shared" ref="H29:H38" si="20">(SQRT($B$6)-($B$7/$B$5)*SQRT($B$8/2)*B29)^2</f>
        <v>0.22414160677525041</v>
      </c>
    </row>
    <row r="30" spans="1:8" x14ac:dyDescent="0.35">
      <c r="A30">
        <v>19</v>
      </c>
      <c r="B30">
        <f t="shared" si="14"/>
        <v>180</v>
      </c>
      <c r="C30" s="162">
        <f t="shared" si="15"/>
        <v>-5.2399758424985302E-3</v>
      </c>
      <c r="D30" s="162">
        <f t="shared" si="16"/>
        <v>-4.9242117771718377E-3</v>
      </c>
      <c r="E30" s="162">
        <f t="shared" si="17"/>
        <v>-4.9438109911737549E-3</v>
      </c>
      <c r="F30" s="162">
        <f t="shared" si="18"/>
        <v>-4.626140763723076E-3</v>
      </c>
      <c r="G30" s="162">
        <f t="shared" si="19"/>
        <v>0.17480566801385755</v>
      </c>
      <c r="H30" s="162">
        <f t="shared" si="20"/>
        <v>0.17480434835026507</v>
      </c>
    </row>
    <row r="31" spans="1:8" x14ac:dyDescent="0.35">
      <c r="A31">
        <v>20</v>
      </c>
      <c r="B31">
        <f t="shared" si="14"/>
        <v>190</v>
      </c>
      <c r="C31" s="162">
        <f t="shared" si="15"/>
        <v>-4.6274758424985291E-3</v>
      </c>
      <c r="D31" s="162">
        <f t="shared" si="16"/>
        <v>-4.3103600452139871E-3</v>
      </c>
      <c r="E31" s="162">
        <f t="shared" si="17"/>
        <v>-4.3328324621676644E-3</v>
      </c>
      <c r="F31" s="162">
        <f t="shared" si="18"/>
        <v>-4.0132048174435454E-3</v>
      </c>
      <c r="G31" s="162">
        <f t="shared" si="19"/>
        <v>0.13159389188934859</v>
      </c>
      <c r="H31" s="162">
        <f t="shared" si="20"/>
        <v>0.13159208992527974</v>
      </c>
    </row>
    <row r="32" spans="1:8" x14ac:dyDescent="0.35">
      <c r="A32">
        <v>21</v>
      </c>
      <c r="B32">
        <f t="shared" si="14"/>
        <v>200</v>
      </c>
      <c r="C32" s="162">
        <f t="shared" si="15"/>
        <v>-4.0149758424985289E-3</v>
      </c>
      <c r="D32" s="162">
        <f t="shared" si="16"/>
        <v>-3.6960598361385354E-3</v>
      </c>
      <c r="E32" s="162">
        <f t="shared" si="17"/>
        <v>-3.7223909475244421E-3</v>
      </c>
      <c r="F32" s="162">
        <f t="shared" si="18"/>
        <v>-3.4000150154270387E-3</v>
      </c>
      <c r="G32" s="162">
        <f t="shared" si="19"/>
        <v>9.4507404513929388E-2</v>
      </c>
      <c r="H32" s="162">
        <f t="shared" si="20"/>
        <v>9.4504831500294484E-2</v>
      </c>
    </row>
    <row r="33" spans="1:8" x14ac:dyDescent="0.35">
      <c r="A33">
        <v>22</v>
      </c>
      <c r="B33">
        <f t="shared" si="14"/>
        <v>210</v>
      </c>
      <c r="C33" s="162">
        <f t="shared" si="15"/>
        <v>-3.4024758424985291E-3</v>
      </c>
      <c r="D33" s="162">
        <f t="shared" si="16"/>
        <v>-3.0810429087008389E-3</v>
      </c>
      <c r="E33" s="162">
        <f t="shared" si="17"/>
        <v>-3.1128287902174785E-3</v>
      </c>
      <c r="F33" s="162">
        <f t="shared" si="18"/>
        <v>-2.7863285145096699E-3</v>
      </c>
      <c r="G33" s="162">
        <f t="shared" si="19"/>
        <v>6.3546491589188001E-2</v>
      </c>
      <c r="H33" s="162">
        <f t="shared" si="20"/>
        <v>6.3542573075309222E-2</v>
      </c>
    </row>
    <row r="34" spans="1:8" x14ac:dyDescent="0.35">
      <c r="A34">
        <v>23</v>
      </c>
      <c r="B34">
        <f t="shared" si="14"/>
        <v>220</v>
      </c>
      <c r="C34" s="162">
        <f t="shared" si="15"/>
        <v>-2.7899758424985298E-3</v>
      </c>
      <c r="D34" s="162">
        <f t="shared" si="16"/>
        <v>-2.4647728086367375E-3</v>
      </c>
      <c r="E34" s="162">
        <f t="shared" si="17"/>
        <v>-2.504853659684609E-3</v>
      </c>
      <c r="F34" s="162">
        <f t="shared" si="18"/>
        <v>-2.1715246875436932E-3</v>
      </c>
      <c r="G34" s="162">
        <f t="shared" si="19"/>
        <v>3.871190247804647E-2</v>
      </c>
      <c r="H34" s="162">
        <f t="shared" si="20"/>
        <v>3.8705314650323862E-2</v>
      </c>
    </row>
    <row r="35" spans="1:8" x14ac:dyDescent="0.35">
      <c r="A35">
        <v>24</v>
      </c>
      <c r="B35">
        <f t="shared" si="14"/>
        <v>230</v>
      </c>
      <c r="C35" s="162">
        <f t="shared" si="15"/>
        <v>-2.1774758424985279E-3</v>
      </c>
      <c r="D35" s="162">
        <f t="shared" si="16"/>
        <v>-1.8459948784149769E-3</v>
      </c>
      <c r="E35" s="162">
        <f t="shared" si="17"/>
        <v>-1.9001918802151272E-3</v>
      </c>
      <c r="F35" s="162">
        <f t="shared" si="18"/>
        <v>-1.5535977572721782E-3</v>
      </c>
      <c r="G35" s="162">
        <f t="shared" si="19"/>
        <v>2.0006157282994947E-2</v>
      </c>
      <c r="H35" s="162">
        <f t="shared" si="20"/>
        <v>1.9993056225338601E-2</v>
      </c>
    </row>
    <row r="36" spans="1:8" x14ac:dyDescent="0.35">
      <c r="A36">
        <v>25</v>
      </c>
      <c r="B36">
        <f t="shared" si="14"/>
        <v>240</v>
      </c>
      <c r="C36" s="162">
        <f t="shared" si="15"/>
        <v>-1.5649758424985285E-3</v>
      </c>
      <c r="D36" s="162">
        <f t="shared" si="16"/>
        <v>-1.2209019960969963E-3</v>
      </c>
      <c r="E36" s="162">
        <f t="shared" si="17"/>
        <v>-1.3043568970931877E-3</v>
      </c>
      <c r="F36" s="162">
        <f>-(($B$7/$B$5)*SQRT(2*$B$8*(H35+($B$9)*E36)))</f>
        <v>-9.226658055140137E-4</v>
      </c>
      <c r="G36" s="162">
        <f t="shared" si="19"/>
        <v>7.4425582256734298E-3</v>
      </c>
      <c r="H36" s="162">
        <f t="shared" si="20"/>
        <v>7.4057978003533266E-3</v>
      </c>
    </row>
    <row r="37" spans="1:8" x14ac:dyDescent="0.35">
      <c r="C37" s="162"/>
      <c r="D37" s="162"/>
      <c r="E37" s="162"/>
      <c r="F37" s="162"/>
      <c r="G37" s="162"/>
      <c r="H37" s="162"/>
    </row>
    <row r="38" spans="1:8" x14ac:dyDescent="0.35">
      <c r="C38" s="162"/>
      <c r="D38" s="162"/>
      <c r="E38" s="162"/>
      <c r="F38" s="162"/>
      <c r="G38" s="162"/>
      <c r="H38" s="162"/>
    </row>
  </sheetData>
  <mergeCells count="1">
    <mergeCell ref="A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Ajuste de curvas</vt:lpstr>
      <vt:lpstr>Integración numérica</vt:lpstr>
      <vt:lpstr>Derivación numérica</vt:lpstr>
      <vt:lpstr>Ecuaciones diferenciales</vt:lpstr>
      <vt:lpstr>Runge Kutta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Fortunato</dc:creator>
  <cp:lastModifiedBy>FORTUNATO, GERMAN ARIEL</cp:lastModifiedBy>
  <dcterms:created xsi:type="dcterms:W3CDTF">2015-06-05T18:19:34Z</dcterms:created>
  <dcterms:modified xsi:type="dcterms:W3CDTF">2025-11-01T10:15:32Z</dcterms:modified>
</cp:coreProperties>
</file>